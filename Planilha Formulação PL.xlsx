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Ricardo Melo\Documents\Meus Documentos\Cursos\PL\Material\Ricardo\Nutrição\Aula Presencial\"/>
    </mc:Choice>
  </mc:AlternateContent>
  <xr:revisionPtr revIDLastSave="0" documentId="13_ncr:1_{E33FA957-731E-4C91-9F0F-2CA6808762D6}" xr6:coauthVersionLast="47" xr6:coauthVersionMax="47" xr10:uidLastSave="{00000000-0000-0000-0000-000000000000}"/>
  <bookViews>
    <workbookView xWindow="-4305" yWindow="-13620" windowWidth="21840" windowHeight="13020" tabRatio="928" activeTab="2" xr2:uid="{00000000-000D-0000-FFFF-FFFF00000000}"/>
  </bookViews>
  <sheets>
    <sheet name="Alimentos" sheetId="12" r:id="rId1"/>
    <sheet name="Lactação" sheetId="62" r:id="rId2"/>
    <sheet name="Pos parto" sheetId="63" r:id="rId3"/>
    <sheet name="Vaca seca" sheetId="44" r:id="rId4"/>
    <sheet name="Pre parto" sheetId="43" r:id="rId5"/>
    <sheet name="Recria" sheetId="53" r:id="rId6"/>
    <sheet name="Ração Geral" sheetId="46" r:id="rId7"/>
    <sheet name="Ração Aleitamento" sheetId="54" r:id="rId8"/>
    <sheet name="Conversão de rótulo" sheetId="64" r:id="rId9"/>
  </sheets>
  <definedNames>
    <definedName name="_xlnm._FilterDatabase" localSheetId="0" hidden="1">Alimentos!$A$1:$A$98</definedName>
    <definedName name="alimentos">Alimentos!$A:$A</definedName>
    <definedName name="e" localSheetId="4">#REF!</definedName>
    <definedName name="e" localSheetId="7">#REF!</definedName>
    <definedName name="e" localSheetId="6">#REF!</definedName>
    <definedName name="e" localSheetId="5">#REF!</definedName>
    <definedName name="e" localSheetId="3">#REF!</definedName>
    <definedName name="e">#REF!</definedName>
    <definedName name="solver_adj" localSheetId="1" hidden="1">Lactação!$C$25:$C$34</definedName>
    <definedName name="solver_adj" localSheetId="2" hidden="1">'Pos parto'!$C$25:$C$34</definedName>
    <definedName name="solver_adj" localSheetId="4" hidden="1">'Pre parto'!$C$25:$C$29</definedName>
    <definedName name="solver_adj" localSheetId="7" hidden="1">'Ração Aleitamento'!$C$25:$C$34</definedName>
    <definedName name="solver_adj" localSheetId="6" hidden="1">'Ração Geral'!$C$25:$C$34</definedName>
    <definedName name="solver_adj" localSheetId="5" hidden="1">Recria!$C$25:$C$29</definedName>
    <definedName name="solver_adj" localSheetId="3" hidden="1">'Vaca seca'!$C$25:$C$29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4" hidden="1">0.0001</definedName>
    <definedName name="solver_cvg" localSheetId="7" hidden="1">0.0001</definedName>
    <definedName name="solver_cvg" localSheetId="6" hidden="1">0.0001</definedName>
    <definedName name="solver_cvg" localSheetId="5" hidden="1">0.0001</definedName>
    <definedName name="solver_cvg" localSheetId="3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drv" localSheetId="4" hidden="1">1</definedName>
    <definedName name="solver_drv" localSheetId="7" hidden="1">1</definedName>
    <definedName name="solver_drv" localSheetId="6" hidden="1">1</definedName>
    <definedName name="solver_drv" localSheetId="5" hidden="1">1</definedName>
    <definedName name="solver_drv" localSheetId="3" hidden="1">1</definedName>
    <definedName name="solver_eng" localSheetId="1" hidden="1">1</definedName>
    <definedName name="solver_eng" localSheetId="2" hidden="1">1</definedName>
    <definedName name="solver_eng" localSheetId="4" hidden="1">1</definedName>
    <definedName name="solver_eng" localSheetId="7" hidden="1">1</definedName>
    <definedName name="solver_eng" localSheetId="6" hidden="1">1</definedName>
    <definedName name="solver_eng" localSheetId="5" hidden="1">1</definedName>
    <definedName name="solver_eng" localSheetId="3" hidden="1">1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est" localSheetId="4" hidden="1">1</definedName>
    <definedName name="solver_est" localSheetId="7" hidden="1">1</definedName>
    <definedName name="solver_est" localSheetId="6" hidden="1">1</definedName>
    <definedName name="solver_est" localSheetId="5" hidden="1">1</definedName>
    <definedName name="solver_est" localSheetId="3" hidden="1">1</definedName>
    <definedName name="solver_itr" localSheetId="0" hidden="1">100</definedName>
    <definedName name="solver_itr" localSheetId="1" hidden="1">100</definedName>
    <definedName name="solver_itr" localSheetId="2" hidden="1">100</definedName>
    <definedName name="solver_itr" localSheetId="4" hidden="1">100</definedName>
    <definedName name="solver_itr" localSheetId="7" hidden="1">100</definedName>
    <definedName name="solver_itr" localSheetId="6" hidden="1">100</definedName>
    <definedName name="solver_itr" localSheetId="5" hidden="1">100</definedName>
    <definedName name="solver_itr" localSheetId="3" hidden="1">100</definedName>
    <definedName name="solver_lhs1" localSheetId="1" hidden="1">Lactação!$E$43</definedName>
    <definedName name="solver_lhs1" localSheetId="2" hidden="1">'Pos parto'!$E$43</definedName>
    <definedName name="solver_lhs1" localSheetId="4" hidden="1">'Pre parto'!$E$42</definedName>
    <definedName name="solver_lhs1" localSheetId="7" hidden="1">'Ração Aleitamento'!$E$42</definedName>
    <definedName name="solver_lhs1" localSheetId="6" hidden="1">'Ração Geral'!$E$42</definedName>
    <definedName name="solver_lhs1" localSheetId="5" hidden="1">Recria!$E$42</definedName>
    <definedName name="solver_lhs1" localSheetId="3" hidden="1">'Vaca seca'!$E$42</definedName>
    <definedName name="solver_lhs10" localSheetId="1" hidden="1">Lactação!$I$48</definedName>
    <definedName name="solver_lhs10" localSheetId="2" hidden="1">'Pos parto'!$I$48</definedName>
    <definedName name="solver_lhs10" localSheetId="4" hidden="1">'Pre parto'!$C$34</definedName>
    <definedName name="solver_lhs10" localSheetId="7" hidden="1">'Ração Aleitamento'!$O$48</definedName>
    <definedName name="solver_lhs10" localSheetId="6" hidden="1">'Ração Geral'!$O$48</definedName>
    <definedName name="solver_lhs10" localSheetId="5" hidden="1">Recria!$C$34</definedName>
    <definedName name="solver_lhs10" localSheetId="3" hidden="1">'Vaca seca'!$C$34</definedName>
    <definedName name="solver_lhs11" localSheetId="1" hidden="1">Lactação!$Q$26</definedName>
    <definedName name="solver_lhs11" localSheetId="2" hidden="1">'Pos parto'!$Q$26</definedName>
    <definedName name="solver_lhs11" localSheetId="4" hidden="1">'Pre parto'!$C$35</definedName>
    <definedName name="solver_lhs11" localSheetId="7" hidden="1">'Ração Aleitamento'!$Q$26</definedName>
    <definedName name="solver_lhs11" localSheetId="6" hidden="1">'Ração Geral'!$Q$26</definedName>
    <definedName name="solver_lhs11" localSheetId="5" hidden="1">Recria!$C$35</definedName>
    <definedName name="solver_lhs11" localSheetId="3" hidden="1">'Vaca seca'!$C$35</definedName>
    <definedName name="solver_lhs12" localSheetId="1" hidden="1">Lactação!$C$36</definedName>
    <definedName name="solver_lhs12" localSheetId="2" hidden="1">'Pos parto'!$C$36</definedName>
    <definedName name="solver_lhs12" localSheetId="4" hidden="1">'Pre parto'!$C$36</definedName>
    <definedName name="solver_lhs12" localSheetId="7" hidden="1">'Ração Aleitamento'!$C$36</definedName>
    <definedName name="solver_lhs12" localSheetId="6" hidden="1">'Ração Geral'!$C$36</definedName>
    <definedName name="solver_lhs12" localSheetId="5" hidden="1">Recria!$C$36</definedName>
    <definedName name="solver_lhs12" localSheetId="3" hidden="1">'Vaca seca'!$C$36</definedName>
    <definedName name="solver_lhs13" localSheetId="1" hidden="1">Lactação!$C$37</definedName>
    <definedName name="solver_lhs13" localSheetId="2" hidden="1">'Pos parto'!$C$37</definedName>
    <definedName name="solver_lhs13" localSheetId="4" hidden="1">'Pre parto'!$C$37</definedName>
    <definedName name="solver_lhs13" localSheetId="7" hidden="1">'Ração Aleitamento'!$C$37</definedName>
    <definedName name="solver_lhs13" localSheetId="6" hidden="1">'Ração Geral'!$C$37</definedName>
    <definedName name="solver_lhs13" localSheetId="5" hidden="1">Recria!$C$37</definedName>
    <definedName name="solver_lhs13" localSheetId="3" hidden="1">'Vaca seca'!$C$37</definedName>
    <definedName name="solver_lhs14" localSheetId="1" hidden="1">Lactação!$C$37</definedName>
    <definedName name="solver_lhs14" localSheetId="2" hidden="1">'Pos parto'!$C$37</definedName>
    <definedName name="solver_lhs14" localSheetId="4" hidden="1">'Pre parto'!$C$37</definedName>
    <definedName name="solver_lhs14" localSheetId="7" hidden="1">'Ração Aleitamento'!$C$37</definedName>
    <definedName name="solver_lhs14" localSheetId="6" hidden="1">'Ração Geral'!$C$37</definedName>
    <definedName name="solver_lhs14" localSheetId="5" hidden="1">Recria!$C$37</definedName>
    <definedName name="solver_lhs14" localSheetId="3" hidden="1">'Vaca seca'!$C$37</definedName>
    <definedName name="solver_lhs15" localSheetId="1" hidden="1">Lactação!$E$42</definedName>
    <definedName name="solver_lhs15" localSheetId="2" hidden="1">'Pos parto'!$E$42</definedName>
    <definedName name="solver_lhs15" localSheetId="4" hidden="1">'Pre parto'!$E$42</definedName>
    <definedName name="solver_lhs15" localSheetId="7" hidden="1">'Ração Aleitamento'!$H$48</definedName>
    <definedName name="solver_lhs15" localSheetId="6" hidden="1">'Ração Geral'!$H$48</definedName>
    <definedName name="solver_lhs15" localSheetId="5" hidden="1">Recria!$E$42</definedName>
    <definedName name="solver_lhs15" localSheetId="3" hidden="1">'Vaca seca'!$E$42</definedName>
    <definedName name="solver_lhs16" localSheetId="1" hidden="1">Lactação!$F$43</definedName>
    <definedName name="solver_lhs16" localSheetId="2" hidden="1">'Pos parto'!$F$43</definedName>
    <definedName name="solver_lhs16" localSheetId="4" hidden="1">'Pre parto'!$F$43</definedName>
    <definedName name="solver_lhs16" localSheetId="7" hidden="1">'Ração Aleitamento'!$F$43</definedName>
    <definedName name="solver_lhs16" localSheetId="6" hidden="1">'Ração Geral'!$F$43</definedName>
    <definedName name="solver_lhs16" localSheetId="5" hidden="1">Recria!$F$43</definedName>
    <definedName name="solver_lhs16" localSheetId="3" hidden="1">'Vaca seca'!$F$43</definedName>
    <definedName name="solver_lhs17" localSheetId="1" hidden="1">Lactação!$H$43</definedName>
    <definedName name="solver_lhs17" localSheetId="2" hidden="1">'Pos parto'!$H$43</definedName>
    <definedName name="solver_lhs17" localSheetId="4" hidden="1">'Pre parto'!$H$43</definedName>
    <definedName name="solver_lhs17" localSheetId="7" hidden="1">'Ração Aleitamento'!$H$43</definedName>
    <definedName name="solver_lhs17" localSheetId="6" hidden="1">'Ração Geral'!$H$43</definedName>
    <definedName name="solver_lhs17" localSheetId="5" hidden="1">Recria!$H$43</definedName>
    <definedName name="solver_lhs17" localSheetId="3" hidden="1">'Vaca seca'!$H$43</definedName>
    <definedName name="solver_lhs18" localSheetId="1" hidden="1">Lactação!$T$43</definedName>
    <definedName name="solver_lhs18" localSheetId="2" hidden="1">'Pos parto'!$T$43</definedName>
    <definedName name="solver_lhs18" localSheetId="4" hidden="1">'Pre parto'!$T$43</definedName>
    <definedName name="solver_lhs18" localSheetId="7" hidden="1">'Ração Aleitamento'!$T$43</definedName>
    <definedName name="solver_lhs18" localSheetId="6" hidden="1">'Ração Geral'!$T$43</definedName>
    <definedName name="solver_lhs18" localSheetId="5" hidden="1">Recria!$T$43</definedName>
    <definedName name="solver_lhs18" localSheetId="3" hidden="1">'Vaca seca'!$T$43</definedName>
    <definedName name="solver_lhs19" localSheetId="1" hidden="1">Lactação!$T$43</definedName>
    <definedName name="solver_lhs19" localSheetId="2" hidden="1">'Pos parto'!$T$43</definedName>
    <definedName name="solver_lhs19" localSheetId="4" hidden="1">'Pre parto'!$T$43</definedName>
    <definedName name="solver_lhs19" localSheetId="7" hidden="1">'Ração Aleitamento'!$T$43</definedName>
    <definedName name="solver_lhs19" localSheetId="6" hidden="1">'Ração Geral'!$T$43</definedName>
    <definedName name="solver_lhs19" localSheetId="5" hidden="1">Recria!$T$43</definedName>
    <definedName name="solver_lhs19" localSheetId="3" hidden="1">'Vaca seca'!$T$43</definedName>
    <definedName name="solver_lhs2" localSheetId="1" hidden="1">Lactação!$C$25:$C$34</definedName>
    <definedName name="solver_lhs2" localSheetId="2" hidden="1">'Pos parto'!$C$25:$C$34</definedName>
    <definedName name="solver_lhs2" localSheetId="4" hidden="1">'Pre parto'!$C$25</definedName>
    <definedName name="solver_lhs2" localSheetId="7" hidden="1">'Ração Aleitamento'!$C$25:$C$34</definedName>
    <definedName name="solver_lhs2" localSheetId="6" hidden="1">'Ração Geral'!$C$25:$C$34</definedName>
    <definedName name="solver_lhs2" localSheetId="5" hidden="1">Recria!$C$25</definedName>
    <definedName name="solver_lhs2" localSheetId="3" hidden="1">'Vaca seca'!$C$25</definedName>
    <definedName name="solver_lhs20" localSheetId="1" hidden="1">Lactação!$F$43</definedName>
    <definedName name="solver_lhs20" localSheetId="2" hidden="1">'Pos parto'!$F$43</definedName>
    <definedName name="solver_lhs20" localSheetId="4" hidden="1">'Pre parto'!$F$43</definedName>
    <definedName name="solver_lhs20" localSheetId="7" hidden="1">'Ração Aleitamento'!$F$43</definedName>
    <definedName name="solver_lhs20" localSheetId="6" hidden="1">'Ração Geral'!$F$43</definedName>
    <definedName name="solver_lhs20" localSheetId="5" hidden="1">Recria!$F$43</definedName>
    <definedName name="solver_lhs20" localSheetId="3" hidden="1">'Vaca seca'!$F$43</definedName>
    <definedName name="solver_lhs21" localSheetId="1" hidden="1">Lactação!$T$43</definedName>
    <definedName name="solver_lhs21" localSheetId="2" hidden="1">'Pos parto'!$T$43</definedName>
    <definedName name="solver_lhs21" localSheetId="4" hidden="1">'Pre parto'!$T$43</definedName>
    <definedName name="solver_lhs21" localSheetId="7" hidden="1">'Ração Aleitamento'!$T$43</definedName>
    <definedName name="solver_lhs21" localSheetId="6" hidden="1">'Ração Geral'!$T$43</definedName>
    <definedName name="solver_lhs21" localSheetId="5" hidden="1">Recria!$T$43</definedName>
    <definedName name="solver_lhs21" localSheetId="3" hidden="1">'Vaca seca'!$T$43</definedName>
    <definedName name="solver_lhs22" localSheetId="1" hidden="1">Lactação!$I$43</definedName>
    <definedName name="solver_lhs22" localSheetId="2" hidden="1">'Pos parto'!$I$43</definedName>
    <definedName name="solver_lhs22" localSheetId="4" hidden="1">'Pre parto'!$I$43</definedName>
    <definedName name="solver_lhs22" localSheetId="7" hidden="1">'Ração Aleitamento'!$I$43</definedName>
    <definedName name="solver_lhs22" localSheetId="6" hidden="1">'Ração Geral'!$I$43</definedName>
    <definedName name="solver_lhs22" localSheetId="5" hidden="1">Recria!$I$43</definedName>
    <definedName name="solver_lhs22" localSheetId="3" hidden="1">'Vaca seca'!$I$43</definedName>
    <definedName name="solver_lhs23" localSheetId="1" hidden="1">Lactação!$C$27</definedName>
    <definedName name="solver_lhs23" localSheetId="2" hidden="1">'Pos parto'!$C$27</definedName>
    <definedName name="solver_lhs23" localSheetId="4" hidden="1">'Pre parto'!$C$27</definedName>
    <definedName name="solver_lhs23" localSheetId="7" hidden="1">'Ração Aleitamento'!$C$27</definedName>
    <definedName name="solver_lhs23" localSheetId="6" hidden="1">'Ração Geral'!$C$27</definedName>
    <definedName name="solver_lhs23" localSheetId="5" hidden="1">Recria!$C$27</definedName>
    <definedName name="solver_lhs23" localSheetId="3" hidden="1">'Vaca seca'!$C$27</definedName>
    <definedName name="solver_lhs24" localSheetId="1" hidden="1">Lactação!$T$43</definedName>
    <definedName name="solver_lhs24" localSheetId="2" hidden="1">'Pos parto'!$T$43</definedName>
    <definedName name="solver_lhs24" localSheetId="4" hidden="1">'Pre parto'!$T$43</definedName>
    <definedName name="solver_lhs24" localSheetId="7" hidden="1">'Ração Aleitamento'!$T$43</definedName>
    <definedName name="solver_lhs24" localSheetId="6" hidden="1">'Ração Geral'!$T$43</definedName>
    <definedName name="solver_lhs24" localSheetId="5" hidden="1">Recria!$T$43</definedName>
    <definedName name="solver_lhs24" localSheetId="3" hidden="1">'Vaca seca'!$T$43</definedName>
    <definedName name="solver_lhs3" localSheetId="1" hidden="1">Lactação!$C$32:$C$34</definedName>
    <definedName name="solver_lhs3" localSheetId="2" hidden="1">'Pos parto'!$C$32:$C$34</definedName>
    <definedName name="solver_lhs3" localSheetId="4" hidden="1">'Pre parto'!$F$43</definedName>
    <definedName name="solver_lhs3" localSheetId="7" hidden="1">'Ração Aleitamento'!$C$32:$C$34</definedName>
    <definedName name="solver_lhs3" localSheetId="6" hidden="1">'Ração Geral'!$C$32:$C$34</definedName>
    <definedName name="solver_lhs3" localSheetId="5" hidden="1">Recria!$F$43</definedName>
    <definedName name="solver_lhs3" localSheetId="3" hidden="1">'Vaca seca'!$F$43</definedName>
    <definedName name="solver_lhs4" localSheetId="1" hidden="1">Lactação!$F$43</definedName>
    <definedName name="solver_lhs4" localSheetId="2" hidden="1">'Pos parto'!$F$43</definedName>
    <definedName name="solver_lhs4" localSheetId="4" hidden="1">'Pre parto'!$T$43</definedName>
    <definedName name="solver_lhs4" localSheetId="7" hidden="1">'Ração Aleitamento'!$F$43</definedName>
    <definedName name="solver_lhs4" localSheetId="6" hidden="1">'Ração Geral'!$F$43</definedName>
    <definedName name="solver_lhs4" localSheetId="5" hidden="1">Recria!$T$43</definedName>
    <definedName name="solver_lhs4" localSheetId="3" hidden="1">'Vaca seca'!$T$43</definedName>
    <definedName name="solver_lhs5" localSheetId="1" hidden="1">Lactação!$T$43</definedName>
    <definedName name="solver_lhs5" localSheetId="2" hidden="1">'Pos parto'!$T$43</definedName>
    <definedName name="solver_lhs5" localSheetId="4" hidden="1">'Pre parto'!$C$25:$C$33</definedName>
    <definedName name="solver_lhs5" localSheetId="7" hidden="1">'Ração Aleitamento'!$T$43</definedName>
    <definedName name="solver_lhs5" localSheetId="6" hidden="1">'Ração Geral'!$T$43</definedName>
    <definedName name="solver_lhs5" localSheetId="5" hidden="1">Recria!$C$25:$C$33</definedName>
    <definedName name="solver_lhs5" localSheetId="3" hidden="1">'Vaca seca'!$C$25:$C$33</definedName>
    <definedName name="solver_lhs6" localSheetId="1" hidden="1">Lactação!$C$31</definedName>
    <definedName name="solver_lhs6" localSheetId="2" hidden="1">'Pos parto'!$C$31</definedName>
    <definedName name="solver_lhs6" localSheetId="4" hidden="1">'Pre parto'!$F$43</definedName>
    <definedName name="solver_lhs6" localSheetId="7" hidden="1">'Ração Aleitamento'!$C$31</definedName>
    <definedName name="solver_lhs6" localSheetId="6" hidden="1">'Ração Geral'!$C$31</definedName>
    <definedName name="solver_lhs6" localSheetId="5" hidden="1">Recria!$F$43</definedName>
    <definedName name="solver_lhs6" localSheetId="3" hidden="1">'Vaca seca'!$F$43</definedName>
    <definedName name="solver_lhs7" localSheetId="1" hidden="1">Lactação!$I$48</definedName>
    <definedName name="solver_lhs7" localSheetId="2" hidden="1">'Pos parto'!$I$48</definedName>
    <definedName name="solver_lhs7" localSheetId="4" hidden="1">'Pre parto'!$T$43</definedName>
    <definedName name="solver_lhs7" localSheetId="7" hidden="1">'Ração Aleitamento'!$O$48</definedName>
    <definedName name="solver_lhs7" localSheetId="6" hidden="1">'Ração Geral'!$O$48</definedName>
    <definedName name="solver_lhs7" localSheetId="5" hidden="1">Recria!$T$43</definedName>
    <definedName name="solver_lhs7" localSheetId="3" hidden="1">'Vaca seca'!$T$43</definedName>
    <definedName name="solver_lhs8" localSheetId="1" hidden="1">Lactação!$E$25</definedName>
    <definedName name="solver_lhs8" localSheetId="2" hidden="1">'Pos parto'!$E$25</definedName>
    <definedName name="solver_lhs8" localSheetId="4" hidden="1">'Pre parto'!$AD$43</definedName>
    <definedName name="solver_lhs8" localSheetId="7" hidden="1">'Ração Aleitamento'!$E$25</definedName>
    <definedName name="solver_lhs8" localSheetId="6" hidden="1">'Ração Geral'!$E$25</definedName>
    <definedName name="solver_lhs8" localSheetId="5" hidden="1">Recria!$AD$43</definedName>
    <definedName name="solver_lhs8" localSheetId="3" hidden="1">'Vaca seca'!$AD$43</definedName>
    <definedName name="solver_lhs9" localSheetId="1" hidden="1">Lactação!$U$43</definedName>
    <definedName name="solver_lhs9" localSheetId="2" hidden="1">'Pos parto'!$U$43</definedName>
    <definedName name="solver_lhs9" localSheetId="4" hidden="1">'Pre parto'!$AD$43</definedName>
    <definedName name="solver_lhs9" localSheetId="7" hidden="1">'Ração Aleitamento'!$U$43</definedName>
    <definedName name="solver_lhs9" localSheetId="6" hidden="1">'Ração Geral'!$U$43</definedName>
    <definedName name="solver_lhs9" localSheetId="5" hidden="1">Recria!$AD$43</definedName>
    <definedName name="solver_lhs9" localSheetId="3" hidden="1">'Vaca seca'!$AD$43</definedName>
    <definedName name="solver_lin" localSheetId="0" hidden="1">2</definedName>
    <definedName name="solver_lin" localSheetId="1" hidden="1">2</definedName>
    <definedName name="solver_lin" localSheetId="2" hidden="1">2</definedName>
    <definedName name="solver_lin" localSheetId="4" hidden="1">2</definedName>
    <definedName name="solver_lin" localSheetId="7" hidden="1">2</definedName>
    <definedName name="solver_lin" localSheetId="6" hidden="1">2</definedName>
    <definedName name="solver_lin" localSheetId="5" hidden="1">2</definedName>
    <definedName name="solver_lin" localSheetId="3" hidden="1">2</definedName>
    <definedName name="solver_mip" localSheetId="1" hidden="1">2147483647</definedName>
    <definedName name="solver_mip" localSheetId="2" hidden="1">2147483647</definedName>
    <definedName name="solver_mip" localSheetId="4" hidden="1">2147483647</definedName>
    <definedName name="solver_mip" localSheetId="7" hidden="1">2147483647</definedName>
    <definedName name="solver_mip" localSheetId="6" hidden="1">2147483647</definedName>
    <definedName name="solver_mip" localSheetId="5" hidden="1">2147483647</definedName>
    <definedName name="solver_mip" localSheetId="3" hidden="1">2147483647</definedName>
    <definedName name="solver_mni" localSheetId="1" hidden="1">30</definedName>
    <definedName name="solver_mni" localSheetId="2" hidden="1">30</definedName>
    <definedName name="solver_mni" localSheetId="4" hidden="1">30</definedName>
    <definedName name="solver_mni" localSheetId="7" hidden="1">30</definedName>
    <definedName name="solver_mni" localSheetId="6" hidden="1">30</definedName>
    <definedName name="solver_mni" localSheetId="5" hidden="1">30</definedName>
    <definedName name="solver_mni" localSheetId="3" hidden="1">30</definedName>
    <definedName name="solver_mrt" localSheetId="1" hidden="1">0.075</definedName>
    <definedName name="solver_mrt" localSheetId="2" hidden="1">0.075</definedName>
    <definedName name="solver_mrt" localSheetId="4" hidden="1">0.075</definedName>
    <definedName name="solver_mrt" localSheetId="7" hidden="1">0.075</definedName>
    <definedName name="solver_mrt" localSheetId="6" hidden="1">0.075</definedName>
    <definedName name="solver_mrt" localSheetId="5" hidden="1">0.075</definedName>
    <definedName name="solver_mrt" localSheetId="3" hidden="1">0.075</definedName>
    <definedName name="solver_msl" localSheetId="1" hidden="1">2</definedName>
    <definedName name="solver_msl" localSheetId="2" hidden="1">2</definedName>
    <definedName name="solver_msl" localSheetId="4" hidden="1">2</definedName>
    <definedName name="solver_msl" localSheetId="7" hidden="1">2</definedName>
    <definedName name="solver_msl" localSheetId="6" hidden="1">2</definedName>
    <definedName name="solver_msl" localSheetId="5" hidden="1">2</definedName>
    <definedName name="solver_msl" localSheetId="3" hidden="1">2</definedName>
    <definedName name="solver_neg" localSheetId="0" hidden="1">2</definedName>
    <definedName name="solver_neg" localSheetId="1" hidden="1">2</definedName>
    <definedName name="solver_neg" localSheetId="2" hidden="1">2</definedName>
    <definedName name="solver_neg" localSheetId="4" hidden="1">2</definedName>
    <definedName name="solver_neg" localSheetId="7" hidden="1">2</definedName>
    <definedName name="solver_neg" localSheetId="6" hidden="1">2</definedName>
    <definedName name="solver_neg" localSheetId="5" hidden="1">2</definedName>
    <definedName name="solver_neg" localSheetId="3" hidden="1">2</definedName>
    <definedName name="solver_nod" localSheetId="1" hidden="1">2147483647</definedName>
    <definedName name="solver_nod" localSheetId="2" hidden="1">2147483647</definedName>
    <definedName name="solver_nod" localSheetId="4" hidden="1">2147483647</definedName>
    <definedName name="solver_nod" localSheetId="7" hidden="1">2147483647</definedName>
    <definedName name="solver_nod" localSheetId="6" hidden="1">2147483647</definedName>
    <definedName name="solver_nod" localSheetId="5" hidden="1">2147483647</definedName>
    <definedName name="solver_nod" localSheetId="3" hidden="1">2147483647</definedName>
    <definedName name="solver_num" localSheetId="0" hidden="1">0</definedName>
    <definedName name="solver_num" localSheetId="1" hidden="1">9</definedName>
    <definedName name="solver_num" localSheetId="2" hidden="1">9</definedName>
    <definedName name="solver_num" localSheetId="4" hidden="1">7</definedName>
    <definedName name="solver_num" localSheetId="7" hidden="1">9</definedName>
    <definedName name="solver_num" localSheetId="6" hidden="1">9</definedName>
    <definedName name="solver_num" localSheetId="5" hidden="1">7</definedName>
    <definedName name="solver_num" localSheetId="3" hidden="1">7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nwt" localSheetId="4" hidden="1">1</definedName>
    <definedName name="solver_nwt" localSheetId="7" hidden="1">1</definedName>
    <definedName name="solver_nwt" localSheetId="6" hidden="1">1</definedName>
    <definedName name="solver_nwt" localSheetId="5" hidden="1">1</definedName>
    <definedName name="solver_nwt" localSheetId="3" hidden="1">1</definedName>
    <definedName name="solver_opt" localSheetId="0" hidden="1">Alimentos!$A$3</definedName>
    <definedName name="solver_opt" localSheetId="1" hidden="1">Lactação!$B$50</definedName>
    <definedName name="solver_opt" localSheetId="2" hidden="1">'Pos parto'!$B$50</definedName>
    <definedName name="solver_opt" localSheetId="4" hidden="1">'Pre parto'!$B$46</definedName>
    <definedName name="solver_opt" localSheetId="7" hidden="1">'Ração Aleitamento'!$K$2</definedName>
    <definedName name="solver_opt" localSheetId="6" hidden="1">'Ração Geral'!$K$2</definedName>
    <definedName name="solver_opt" localSheetId="5" hidden="1">Recria!$H$2</definedName>
    <definedName name="solver_opt" localSheetId="3" hidden="1">'Vaca seca'!$H$2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4" hidden="1">0.000001</definedName>
    <definedName name="solver_pre" localSheetId="7" hidden="1">0.000001</definedName>
    <definedName name="solver_pre" localSheetId="6" hidden="1">0.000001</definedName>
    <definedName name="solver_pre" localSheetId="5" hidden="1">0.000001</definedName>
    <definedName name="solver_pre" localSheetId="3" hidden="1">0.000001</definedName>
    <definedName name="solver_rbv" localSheetId="1" hidden="1">1</definedName>
    <definedName name="solver_rbv" localSheetId="2" hidden="1">1</definedName>
    <definedName name="solver_rbv" localSheetId="4" hidden="1">1</definedName>
    <definedName name="solver_rbv" localSheetId="7" hidden="1">1</definedName>
    <definedName name="solver_rbv" localSheetId="6" hidden="1">1</definedName>
    <definedName name="solver_rbv" localSheetId="5" hidden="1">1</definedName>
    <definedName name="solver_rbv" localSheetId="3" hidden="1">1</definedName>
    <definedName name="solver_rel1" localSheetId="1" hidden="1">2</definedName>
    <definedName name="solver_rel1" localSheetId="2" hidden="1">2</definedName>
    <definedName name="solver_rel1" localSheetId="4" hidden="1">2</definedName>
    <definedName name="solver_rel1" localSheetId="7" hidden="1">2</definedName>
    <definedName name="solver_rel1" localSheetId="6" hidden="1">2</definedName>
    <definedName name="solver_rel1" localSheetId="5" hidden="1">2</definedName>
    <definedName name="solver_rel1" localSheetId="3" hidden="1">2</definedName>
    <definedName name="solver_rel10" localSheetId="1" hidden="1">1</definedName>
    <definedName name="solver_rel10" localSheetId="2" hidden="1">1</definedName>
    <definedName name="solver_rel10" localSheetId="4" hidden="1">1</definedName>
    <definedName name="solver_rel10" localSheetId="7" hidden="1">1</definedName>
    <definedName name="solver_rel10" localSheetId="6" hidden="1">1</definedName>
    <definedName name="solver_rel10" localSheetId="5" hidden="1">1</definedName>
    <definedName name="solver_rel10" localSheetId="3" hidden="1">1</definedName>
    <definedName name="solver_rel11" localSheetId="1" hidden="1">1</definedName>
    <definedName name="solver_rel11" localSheetId="2" hidden="1">1</definedName>
    <definedName name="solver_rel11" localSheetId="4" hidden="1">2</definedName>
    <definedName name="solver_rel11" localSheetId="7" hidden="1">1</definedName>
    <definedName name="solver_rel11" localSheetId="6" hidden="1">1</definedName>
    <definedName name="solver_rel11" localSheetId="5" hidden="1">2</definedName>
    <definedName name="solver_rel11" localSheetId="3" hidden="1">2</definedName>
    <definedName name="solver_rel12" localSheetId="1" hidden="1">1</definedName>
    <definedName name="solver_rel12" localSheetId="2" hidden="1">1</definedName>
    <definedName name="solver_rel12" localSheetId="4" hidden="1">1</definedName>
    <definedName name="solver_rel12" localSheetId="7" hidden="1">1</definedName>
    <definedName name="solver_rel12" localSheetId="6" hidden="1">1</definedName>
    <definedName name="solver_rel12" localSheetId="5" hidden="1">1</definedName>
    <definedName name="solver_rel12" localSheetId="3" hidden="1">1</definedName>
    <definedName name="solver_rel13" localSheetId="1" hidden="1">1</definedName>
    <definedName name="solver_rel13" localSheetId="2" hidden="1">1</definedName>
    <definedName name="solver_rel13" localSheetId="4" hidden="1">1</definedName>
    <definedName name="solver_rel13" localSheetId="7" hidden="1">1</definedName>
    <definedName name="solver_rel13" localSheetId="6" hidden="1">1</definedName>
    <definedName name="solver_rel13" localSheetId="5" hidden="1">1</definedName>
    <definedName name="solver_rel13" localSheetId="3" hidden="1">1</definedName>
    <definedName name="solver_rel14" localSheetId="1" hidden="1">3</definedName>
    <definedName name="solver_rel14" localSheetId="2" hidden="1">3</definedName>
    <definedName name="solver_rel14" localSheetId="4" hidden="1">3</definedName>
    <definedName name="solver_rel14" localSheetId="7" hidden="1">3</definedName>
    <definedName name="solver_rel14" localSheetId="6" hidden="1">3</definedName>
    <definedName name="solver_rel14" localSheetId="5" hidden="1">3</definedName>
    <definedName name="solver_rel14" localSheetId="3" hidden="1">3</definedName>
    <definedName name="solver_rel15" localSheetId="1" hidden="1">2</definedName>
    <definedName name="solver_rel15" localSheetId="2" hidden="1">2</definedName>
    <definedName name="solver_rel15" localSheetId="4" hidden="1">2</definedName>
    <definedName name="solver_rel15" localSheetId="7" hidden="1">2</definedName>
    <definedName name="solver_rel15" localSheetId="6" hidden="1">2</definedName>
    <definedName name="solver_rel15" localSheetId="5" hidden="1">2</definedName>
    <definedName name="solver_rel15" localSheetId="3" hidden="1">2</definedName>
    <definedName name="solver_rel16" localSheetId="1" hidden="1">2</definedName>
    <definedName name="solver_rel16" localSheetId="2" hidden="1">2</definedName>
    <definedName name="solver_rel16" localSheetId="4" hidden="1">2</definedName>
    <definedName name="solver_rel16" localSheetId="7" hidden="1">2</definedName>
    <definedName name="solver_rel16" localSheetId="6" hidden="1">2</definedName>
    <definedName name="solver_rel16" localSheetId="5" hidden="1">2</definedName>
    <definedName name="solver_rel16" localSheetId="3" hidden="1">2</definedName>
    <definedName name="solver_rel17" localSheetId="1" hidden="1">1</definedName>
    <definedName name="solver_rel17" localSheetId="2" hidden="1">1</definedName>
    <definedName name="solver_rel17" localSheetId="4" hidden="1">1</definedName>
    <definedName name="solver_rel17" localSheetId="7" hidden="1">1</definedName>
    <definedName name="solver_rel17" localSheetId="6" hidden="1">1</definedName>
    <definedName name="solver_rel17" localSheetId="5" hidden="1">1</definedName>
    <definedName name="solver_rel17" localSheetId="3" hidden="1">1</definedName>
    <definedName name="solver_rel18" localSheetId="1" hidden="1">1</definedName>
    <definedName name="solver_rel18" localSheetId="2" hidden="1">1</definedName>
    <definedName name="solver_rel18" localSheetId="4" hidden="1">1</definedName>
    <definedName name="solver_rel18" localSheetId="7" hidden="1">1</definedName>
    <definedName name="solver_rel18" localSheetId="6" hidden="1">1</definedName>
    <definedName name="solver_rel18" localSheetId="5" hidden="1">1</definedName>
    <definedName name="solver_rel18" localSheetId="3" hidden="1">1</definedName>
    <definedName name="solver_rel19" localSheetId="1" hidden="1">1</definedName>
    <definedName name="solver_rel19" localSheetId="2" hidden="1">1</definedName>
    <definedName name="solver_rel19" localSheetId="4" hidden="1">1</definedName>
    <definedName name="solver_rel19" localSheetId="7" hidden="1">1</definedName>
    <definedName name="solver_rel19" localSheetId="6" hidden="1">1</definedName>
    <definedName name="solver_rel19" localSheetId="5" hidden="1">1</definedName>
    <definedName name="solver_rel19" localSheetId="3" hidden="1">1</definedName>
    <definedName name="solver_rel2" localSheetId="1" hidden="1">3</definedName>
    <definedName name="solver_rel2" localSheetId="2" hidden="1">3</definedName>
    <definedName name="solver_rel2" localSheetId="4" hidden="1">1</definedName>
    <definedName name="solver_rel2" localSheetId="7" hidden="1">3</definedName>
    <definedName name="solver_rel2" localSheetId="6" hidden="1">3</definedName>
    <definedName name="solver_rel2" localSheetId="5" hidden="1">1</definedName>
    <definedName name="solver_rel2" localSheetId="3" hidden="1">1</definedName>
    <definedName name="solver_rel20" localSheetId="1" hidden="1">3</definedName>
    <definedName name="solver_rel20" localSheetId="2" hidden="1">3</definedName>
    <definedName name="solver_rel20" localSheetId="4" hidden="1">3</definedName>
    <definedName name="solver_rel20" localSheetId="7" hidden="1">3</definedName>
    <definedName name="solver_rel20" localSheetId="6" hidden="1">3</definedName>
    <definedName name="solver_rel20" localSheetId="5" hidden="1">3</definedName>
    <definedName name="solver_rel20" localSheetId="3" hidden="1">3</definedName>
    <definedName name="solver_rel21" localSheetId="1" hidden="1">3</definedName>
    <definedName name="solver_rel21" localSheetId="2" hidden="1">3</definedName>
    <definedName name="solver_rel21" localSheetId="4" hidden="1">3</definedName>
    <definedName name="solver_rel21" localSheetId="7" hidden="1">3</definedName>
    <definedName name="solver_rel21" localSheetId="6" hidden="1">3</definedName>
    <definedName name="solver_rel21" localSheetId="5" hidden="1">3</definedName>
    <definedName name="solver_rel21" localSheetId="3" hidden="1">3</definedName>
    <definedName name="solver_rel22" localSheetId="1" hidden="1">1</definedName>
    <definedName name="solver_rel22" localSheetId="2" hidden="1">1</definedName>
    <definedName name="solver_rel22" localSheetId="4" hidden="1">1</definedName>
    <definedName name="solver_rel22" localSheetId="7" hidden="1">1</definedName>
    <definedName name="solver_rel22" localSheetId="6" hidden="1">1</definedName>
    <definedName name="solver_rel22" localSheetId="5" hidden="1">1</definedName>
    <definedName name="solver_rel22" localSheetId="3" hidden="1">1</definedName>
    <definedName name="solver_rel23" localSheetId="1" hidden="1">3</definedName>
    <definedName name="solver_rel23" localSheetId="2" hidden="1">3</definedName>
    <definedName name="solver_rel23" localSheetId="4" hidden="1">3</definedName>
    <definedName name="solver_rel23" localSheetId="7" hidden="1">3</definedName>
    <definedName name="solver_rel23" localSheetId="6" hidden="1">3</definedName>
    <definedName name="solver_rel23" localSheetId="5" hidden="1">3</definedName>
    <definedName name="solver_rel23" localSheetId="3" hidden="1">3</definedName>
    <definedName name="solver_rel24" localSheetId="1" hidden="1">1</definedName>
    <definedName name="solver_rel24" localSheetId="2" hidden="1">1</definedName>
    <definedName name="solver_rel24" localSheetId="4" hidden="1">1</definedName>
    <definedName name="solver_rel24" localSheetId="7" hidden="1">1</definedName>
    <definedName name="solver_rel24" localSheetId="6" hidden="1">1</definedName>
    <definedName name="solver_rel24" localSheetId="5" hidden="1">1</definedName>
    <definedName name="solver_rel24" localSheetId="3" hidden="1">1</definedName>
    <definedName name="solver_rel3" localSheetId="1" hidden="1">2</definedName>
    <definedName name="solver_rel3" localSheetId="2" hidden="1">2</definedName>
    <definedName name="solver_rel3" localSheetId="4" hidden="1">3</definedName>
    <definedName name="solver_rel3" localSheetId="7" hidden="1">2</definedName>
    <definedName name="solver_rel3" localSheetId="6" hidden="1">2</definedName>
    <definedName name="solver_rel3" localSheetId="5" hidden="1">3</definedName>
    <definedName name="solver_rel3" localSheetId="3" hidden="1">3</definedName>
    <definedName name="solver_rel4" localSheetId="1" hidden="1">3</definedName>
    <definedName name="solver_rel4" localSheetId="2" hidden="1">3</definedName>
    <definedName name="solver_rel4" localSheetId="4" hidden="1">3</definedName>
    <definedName name="solver_rel4" localSheetId="7" hidden="1">3</definedName>
    <definedName name="solver_rel4" localSheetId="6" hidden="1">3</definedName>
    <definedName name="solver_rel4" localSheetId="5" hidden="1">3</definedName>
    <definedName name="solver_rel4" localSheetId="3" hidden="1">3</definedName>
    <definedName name="solver_rel5" localSheetId="1" hidden="1">3</definedName>
    <definedName name="solver_rel5" localSheetId="2" hidden="1">3</definedName>
    <definedName name="solver_rel5" localSheetId="4" hidden="1">3</definedName>
    <definedName name="solver_rel5" localSheetId="7" hidden="1">3</definedName>
    <definedName name="solver_rel5" localSheetId="6" hidden="1">3</definedName>
    <definedName name="solver_rel5" localSheetId="5" hidden="1">3</definedName>
    <definedName name="solver_rel5" localSheetId="3" hidden="1">3</definedName>
    <definedName name="solver_rel6" localSheetId="1" hidden="1">2</definedName>
    <definedName name="solver_rel6" localSheetId="2" hidden="1">2</definedName>
    <definedName name="solver_rel6" localSheetId="4" hidden="1">1</definedName>
    <definedName name="solver_rel6" localSheetId="7" hidden="1">2</definedName>
    <definedName name="solver_rel6" localSheetId="6" hidden="1">2</definedName>
    <definedName name="solver_rel6" localSheetId="5" hidden="1">1</definedName>
    <definedName name="solver_rel6" localSheetId="3" hidden="1">1</definedName>
    <definedName name="solver_rel7" localSheetId="1" hidden="1">1</definedName>
    <definedName name="solver_rel7" localSheetId="2" hidden="1">1</definedName>
    <definedName name="solver_rel7" localSheetId="4" hidden="1">3</definedName>
    <definedName name="solver_rel7" localSheetId="7" hidden="1">1</definedName>
    <definedName name="solver_rel7" localSheetId="6" hidden="1">1</definedName>
    <definedName name="solver_rel7" localSheetId="5" hidden="1">3</definedName>
    <definedName name="solver_rel7" localSheetId="3" hidden="1">3</definedName>
    <definedName name="solver_rel8" localSheetId="1" hidden="1">1</definedName>
    <definedName name="solver_rel8" localSheetId="2" hidden="1">1</definedName>
    <definedName name="solver_rel8" localSheetId="4" hidden="1">3</definedName>
    <definedName name="solver_rel8" localSheetId="7" hidden="1">1</definedName>
    <definedName name="solver_rel8" localSheetId="6" hidden="1">1</definedName>
    <definedName name="solver_rel8" localSheetId="5" hidden="1">3</definedName>
    <definedName name="solver_rel8" localSheetId="3" hidden="1">3</definedName>
    <definedName name="solver_rel9" localSheetId="1" hidden="1">3</definedName>
    <definedName name="solver_rel9" localSheetId="2" hidden="1">3</definedName>
    <definedName name="solver_rel9" localSheetId="4" hidden="1">1</definedName>
    <definedName name="solver_rel9" localSheetId="7" hidden="1">3</definedName>
    <definedName name="solver_rel9" localSheetId="6" hidden="1">3</definedName>
    <definedName name="solver_rel9" localSheetId="5" hidden="1">1</definedName>
    <definedName name="solver_rel9" localSheetId="3" hidden="1">1</definedName>
    <definedName name="solver_rhs1" localSheetId="1" hidden="1">18.2</definedName>
    <definedName name="solver_rhs1" localSheetId="2" hidden="1">18.2</definedName>
    <definedName name="solver_rhs1" localSheetId="4" hidden="1">19.44</definedName>
    <definedName name="solver_rhs1" localSheetId="7" hidden="1">18.2</definedName>
    <definedName name="solver_rhs1" localSheetId="6" hidden="1">18.2</definedName>
    <definedName name="solver_rhs1" localSheetId="5" hidden="1">19.44</definedName>
    <definedName name="solver_rhs1" localSheetId="3" hidden="1">19.44</definedName>
    <definedName name="solver_rhs10" localSheetId="1" hidden="1">0.009</definedName>
    <definedName name="solver_rhs10" localSheetId="2" hidden="1">0.009</definedName>
    <definedName name="solver_rhs10" localSheetId="4" hidden="1">0.12</definedName>
    <definedName name="solver_rhs10" localSheetId="7" hidden="1">0.009</definedName>
    <definedName name="solver_rhs10" localSheetId="6" hidden="1">0.009</definedName>
    <definedName name="solver_rhs10" localSheetId="5" hidden="1">0.12</definedName>
    <definedName name="solver_rhs10" localSheetId="3" hidden="1">0.12</definedName>
    <definedName name="solver_rhs11" localSheetId="1" hidden="1">0.6</definedName>
    <definedName name="solver_rhs11" localSheetId="2" hidden="1">0.6</definedName>
    <definedName name="solver_rhs11" localSheetId="4" hidden="1">0.06</definedName>
    <definedName name="solver_rhs11" localSheetId="7" hidden="1">0.6</definedName>
    <definedName name="solver_rhs11" localSheetId="6" hidden="1">0.6</definedName>
    <definedName name="solver_rhs11" localSheetId="5" hidden="1">0.06</definedName>
    <definedName name="solver_rhs11" localSheetId="3" hidden="1">0.06</definedName>
    <definedName name="solver_rhs12" localSheetId="1" hidden="1">0.06</definedName>
    <definedName name="solver_rhs12" localSheetId="2" hidden="1">0.06</definedName>
    <definedName name="solver_rhs12" localSheetId="4" hidden="1">0.06</definedName>
    <definedName name="solver_rhs12" localSheetId="7" hidden="1">0.06</definedName>
    <definedName name="solver_rhs12" localSheetId="6" hidden="1">0.06</definedName>
    <definedName name="solver_rhs12" localSheetId="5" hidden="1">0.06</definedName>
    <definedName name="solver_rhs12" localSheetId="3" hidden="1">0.06</definedName>
    <definedName name="solver_rhs13" localSheetId="1" hidden="1">0.12</definedName>
    <definedName name="solver_rhs13" localSheetId="2" hidden="1">0.12</definedName>
    <definedName name="solver_rhs13" localSheetId="4" hidden="1">0.12</definedName>
    <definedName name="solver_rhs13" localSheetId="7" hidden="1">0.12</definedName>
    <definedName name="solver_rhs13" localSheetId="6" hidden="1">0.12</definedName>
    <definedName name="solver_rhs13" localSheetId="5" hidden="1">0.12</definedName>
    <definedName name="solver_rhs13" localSheetId="3" hidden="1">0.12</definedName>
    <definedName name="solver_rhs14" localSheetId="1" hidden="1">0.08</definedName>
    <definedName name="solver_rhs14" localSheetId="2" hidden="1">0.08</definedName>
    <definedName name="solver_rhs14" localSheetId="4" hidden="1">0.08</definedName>
    <definedName name="solver_rhs14" localSheetId="7" hidden="1">0.08</definedName>
    <definedName name="solver_rhs14" localSheetId="6" hidden="1">0.08</definedName>
    <definedName name="solver_rhs14" localSheetId="5" hidden="1">0.08</definedName>
    <definedName name="solver_rhs14" localSheetId="3" hidden="1">0.08</definedName>
    <definedName name="solver_rhs15" localSheetId="1" hidden="1">Lactação!#REF!</definedName>
    <definedName name="solver_rhs15" localSheetId="2" hidden="1">'Pos parto'!#REF!</definedName>
    <definedName name="solver_rhs15" localSheetId="4" hidden="1">'Pre parto'!#REF!</definedName>
    <definedName name="solver_rhs15" localSheetId="7" hidden="1">'Ração Aleitamento'!#REF!</definedName>
    <definedName name="solver_rhs15" localSheetId="6" hidden="1">'Ração Geral'!#REF!</definedName>
    <definedName name="solver_rhs15" localSheetId="5" hidden="1">Recria!#REF!</definedName>
    <definedName name="solver_rhs15" localSheetId="3" hidden="1">'Vaca seca'!#REF!</definedName>
    <definedName name="solver_rhs16" localSheetId="1" hidden="1">0.16</definedName>
    <definedName name="solver_rhs16" localSheetId="2" hidden="1">0.16</definedName>
    <definedName name="solver_rhs16" localSheetId="4" hidden="1">0.16</definedName>
    <definedName name="solver_rhs16" localSheetId="7" hidden="1">0.16</definedName>
    <definedName name="solver_rhs16" localSheetId="6" hidden="1">0.16</definedName>
    <definedName name="solver_rhs16" localSheetId="5" hidden="1">0.16</definedName>
    <definedName name="solver_rhs16" localSheetId="3" hidden="1">0.16</definedName>
    <definedName name="solver_rhs17" localSheetId="1" hidden="1">5.2</definedName>
    <definedName name="solver_rhs17" localSheetId="2" hidden="1">5.2</definedName>
    <definedName name="solver_rhs17" localSheetId="4" hidden="1">5.2</definedName>
    <definedName name="solver_rhs17" localSheetId="7" hidden="1">5.2</definedName>
    <definedName name="solver_rhs17" localSheetId="6" hidden="1">5.2</definedName>
    <definedName name="solver_rhs17" localSheetId="5" hidden="1">5.2</definedName>
    <definedName name="solver_rhs17" localSheetId="3" hidden="1">5.2</definedName>
    <definedName name="solver_rhs18" localSheetId="1" hidden="1">0.4</definedName>
    <definedName name="solver_rhs18" localSheetId="2" hidden="1">0.4</definedName>
    <definedName name="solver_rhs18" localSheetId="4" hidden="1">0.4</definedName>
    <definedName name="solver_rhs18" localSheetId="7" hidden="1">0.4</definedName>
    <definedName name="solver_rhs18" localSheetId="6" hidden="1">0.4</definedName>
    <definedName name="solver_rhs18" localSheetId="5" hidden="1">0.4</definedName>
    <definedName name="solver_rhs18" localSheetId="3" hidden="1">0.4</definedName>
    <definedName name="solver_rhs19" localSheetId="1" hidden="1">0.4</definedName>
    <definedName name="solver_rhs19" localSheetId="2" hidden="1">0.4</definedName>
    <definedName name="solver_rhs19" localSheetId="4" hidden="1">0.4</definedName>
    <definedName name="solver_rhs19" localSheetId="7" hidden="1">0.4</definedName>
    <definedName name="solver_rhs19" localSheetId="6" hidden="1">0.4</definedName>
    <definedName name="solver_rhs19" localSheetId="5" hidden="1">0.4</definedName>
    <definedName name="solver_rhs19" localSheetId="3" hidden="1">0.4</definedName>
    <definedName name="solver_rhs2" localSheetId="1" hidden="1">0</definedName>
    <definedName name="solver_rhs2" localSheetId="2" hidden="1">0</definedName>
    <definedName name="solver_rhs2" localSheetId="4" hidden="1">25</definedName>
    <definedName name="solver_rhs2" localSheetId="7" hidden="1">0</definedName>
    <definedName name="solver_rhs2" localSheetId="6" hidden="1">0</definedName>
    <definedName name="solver_rhs2" localSheetId="5" hidden="1">25</definedName>
    <definedName name="solver_rhs2" localSheetId="3" hidden="1">25</definedName>
    <definedName name="solver_rhs20" localSheetId="1" hidden="1">0.16</definedName>
    <definedName name="solver_rhs20" localSheetId="2" hidden="1">0.16</definedName>
    <definedName name="solver_rhs20" localSheetId="4" hidden="1">0.16</definedName>
    <definedName name="solver_rhs20" localSheetId="7" hidden="1">0.16</definedName>
    <definedName name="solver_rhs20" localSheetId="6" hidden="1">0.16</definedName>
    <definedName name="solver_rhs20" localSheetId="5" hidden="1">0.16</definedName>
    <definedName name="solver_rhs20" localSheetId="3" hidden="1">0.16</definedName>
    <definedName name="solver_rhs21" localSheetId="1" hidden="1">0.37</definedName>
    <definedName name="solver_rhs21" localSheetId="2" hidden="1">0.37</definedName>
    <definedName name="solver_rhs21" localSheetId="4" hidden="1">0.37</definedName>
    <definedName name="solver_rhs21" localSheetId="7" hidden="1">0.37</definedName>
    <definedName name="solver_rhs21" localSheetId="6" hidden="1">0.37</definedName>
    <definedName name="solver_rhs21" localSheetId="5" hidden="1">0.37</definedName>
    <definedName name="solver_rhs21" localSheetId="3" hidden="1">0.37</definedName>
    <definedName name="solver_rhs22" localSheetId="1" hidden="1">0.25</definedName>
    <definedName name="solver_rhs22" localSheetId="2" hidden="1">0.25</definedName>
    <definedName name="solver_rhs22" localSheetId="4" hidden="1">0.25</definedName>
    <definedName name="solver_rhs22" localSheetId="7" hidden="1">0.25</definedName>
    <definedName name="solver_rhs22" localSheetId="6" hidden="1">0.25</definedName>
    <definedName name="solver_rhs22" localSheetId="5" hidden="1">0.25</definedName>
    <definedName name="solver_rhs22" localSheetId="3" hidden="1">0.25</definedName>
    <definedName name="solver_rhs23" localSheetId="1" hidden="1">28</definedName>
    <definedName name="solver_rhs23" localSheetId="2" hidden="1">28</definedName>
    <definedName name="solver_rhs23" localSheetId="4" hidden="1">28</definedName>
    <definedName name="solver_rhs23" localSheetId="7" hidden="1">28</definedName>
    <definedName name="solver_rhs23" localSheetId="6" hidden="1">28</definedName>
    <definedName name="solver_rhs23" localSheetId="5" hidden="1">28</definedName>
    <definedName name="solver_rhs23" localSheetId="3" hidden="1">28</definedName>
    <definedName name="solver_rhs24" localSheetId="1" hidden="1">0.4</definedName>
    <definedName name="solver_rhs24" localSheetId="2" hidden="1">0.4</definedName>
    <definedName name="solver_rhs24" localSheetId="4" hidden="1">0.4</definedName>
    <definedName name="solver_rhs24" localSheetId="7" hidden="1">0.4</definedName>
    <definedName name="solver_rhs24" localSheetId="6" hidden="1">0.4</definedName>
    <definedName name="solver_rhs24" localSheetId="5" hidden="1">0.4</definedName>
    <definedName name="solver_rhs24" localSheetId="3" hidden="1">0.4</definedName>
    <definedName name="solver_rhs3" localSheetId="1" hidden="1">0</definedName>
    <definedName name="solver_rhs3" localSheetId="2" hidden="1">0</definedName>
    <definedName name="solver_rhs3" localSheetId="4" hidden="1">0.16</definedName>
    <definedName name="solver_rhs3" localSheetId="7" hidden="1">0</definedName>
    <definedName name="solver_rhs3" localSheetId="6" hidden="1">0</definedName>
    <definedName name="solver_rhs3" localSheetId="5" hidden="1">0.16</definedName>
    <definedName name="solver_rhs3" localSheetId="3" hidden="1">0.16</definedName>
    <definedName name="solver_rhs4" localSheetId="1" hidden="1">0.155</definedName>
    <definedName name="solver_rhs4" localSheetId="2" hidden="1">0.155</definedName>
    <definedName name="solver_rhs4" localSheetId="4" hidden="1">0.35</definedName>
    <definedName name="solver_rhs4" localSheetId="7" hidden="1">0.155</definedName>
    <definedName name="solver_rhs4" localSheetId="6" hidden="1">0.155</definedName>
    <definedName name="solver_rhs4" localSheetId="5" hidden="1">0.35</definedName>
    <definedName name="solver_rhs4" localSheetId="3" hidden="1">0.35</definedName>
    <definedName name="solver_rhs5" localSheetId="1" hidden="1">0.3</definedName>
    <definedName name="solver_rhs5" localSheetId="2" hidden="1">0.3</definedName>
    <definedName name="solver_rhs5" localSheetId="4" hidden="1">0</definedName>
    <definedName name="solver_rhs5" localSheetId="7" hidden="1">0.3</definedName>
    <definedName name="solver_rhs5" localSheetId="6" hidden="1">0.3</definedName>
    <definedName name="solver_rhs5" localSheetId="5" hidden="1">0</definedName>
    <definedName name="solver_rhs5" localSheetId="3" hidden="1">0</definedName>
    <definedName name="solver_rhs6" localSheetId="1" hidden="1">0</definedName>
    <definedName name="solver_rhs6" localSheetId="2" hidden="1">0</definedName>
    <definedName name="solver_rhs6" localSheetId="4" hidden="1">0.17</definedName>
    <definedName name="solver_rhs6" localSheetId="7" hidden="1">0</definedName>
    <definedName name="solver_rhs6" localSheetId="6" hidden="1">0</definedName>
    <definedName name="solver_rhs6" localSheetId="5" hidden="1">0.17</definedName>
    <definedName name="solver_rhs6" localSheetId="3" hidden="1">0.17</definedName>
    <definedName name="solver_rhs7" localSheetId="1" hidden="1">0.012</definedName>
    <definedName name="solver_rhs7" localSheetId="2" hidden="1">0.012</definedName>
    <definedName name="solver_rhs7" localSheetId="4" hidden="1">0.35</definedName>
    <definedName name="solver_rhs7" localSheetId="7" hidden="1">0.012</definedName>
    <definedName name="solver_rhs7" localSheetId="6" hidden="1">0.012</definedName>
    <definedName name="solver_rhs7" localSheetId="5" hidden="1">0.35</definedName>
    <definedName name="solver_rhs7" localSheetId="3" hidden="1">0.35</definedName>
    <definedName name="solver_rhs8" localSheetId="1" hidden="1">9</definedName>
    <definedName name="solver_rhs8" localSheetId="2" hidden="1">9</definedName>
    <definedName name="solver_rhs8" localSheetId="4" hidden="1">0.0022</definedName>
    <definedName name="solver_rhs8" localSheetId="7" hidden="1">9</definedName>
    <definedName name="solver_rhs8" localSheetId="6" hidden="1">9</definedName>
    <definedName name="solver_rhs8" localSheetId="5" hidden="1">0.0022</definedName>
    <definedName name="solver_rhs8" localSheetId="3" hidden="1">0.0022</definedName>
    <definedName name="solver_rhs9" localSheetId="1" hidden="1">0.15</definedName>
    <definedName name="solver_rhs9" localSheetId="2" hidden="1">0.15</definedName>
    <definedName name="solver_rhs9" localSheetId="4" hidden="1">0.003</definedName>
    <definedName name="solver_rhs9" localSheetId="7" hidden="1">0.15</definedName>
    <definedName name="solver_rhs9" localSheetId="6" hidden="1">0.15</definedName>
    <definedName name="solver_rhs9" localSheetId="5" hidden="1">0.003</definedName>
    <definedName name="solver_rhs9" localSheetId="3" hidden="1">0.003</definedName>
    <definedName name="solver_rlx" localSheetId="1" hidden="1">2</definedName>
    <definedName name="solver_rlx" localSheetId="2" hidden="1">2</definedName>
    <definedName name="solver_rlx" localSheetId="4" hidden="1">2</definedName>
    <definedName name="solver_rlx" localSheetId="7" hidden="1">2</definedName>
    <definedName name="solver_rlx" localSheetId="6" hidden="1">2</definedName>
    <definedName name="solver_rlx" localSheetId="5" hidden="1">2</definedName>
    <definedName name="solver_rlx" localSheetId="3" hidden="1">2</definedName>
    <definedName name="solver_rsd" localSheetId="1" hidden="1">0</definedName>
    <definedName name="solver_rsd" localSheetId="2" hidden="1">0</definedName>
    <definedName name="solver_rsd" localSheetId="4" hidden="1">0</definedName>
    <definedName name="solver_rsd" localSheetId="7" hidden="1">0</definedName>
    <definedName name="solver_rsd" localSheetId="6" hidden="1">0</definedName>
    <definedName name="solver_rsd" localSheetId="5" hidden="1">0</definedName>
    <definedName name="solver_rsd" localSheetId="3" hidden="1">0</definedName>
    <definedName name="solver_scl" localSheetId="0" hidden="1">2</definedName>
    <definedName name="solver_scl" localSheetId="1" hidden="1">1</definedName>
    <definedName name="solver_scl" localSheetId="2" hidden="1">1</definedName>
    <definedName name="solver_scl" localSheetId="4" hidden="1">1</definedName>
    <definedName name="solver_scl" localSheetId="7" hidden="1">1</definedName>
    <definedName name="solver_scl" localSheetId="6" hidden="1">1</definedName>
    <definedName name="solver_scl" localSheetId="5" hidden="1">1</definedName>
    <definedName name="solver_scl" localSheetId="3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4" hidden="1">2</definedName>
    <definedName name="solver_sho" localSheetId="7" hidden="1">2</definedName>
    <definedName name="solver_sho" localSheetId="6" hidden="1">2</definedName>
    <definedName name="solver_sho" localSheetId="5" hidden="1">2</definedName>
    <definedName name="solver_sho" localSheetId="3" hidden="1">2</definedName>
    <definedName name="solver_ssz" localSheetId="1" hidden="1">100</definedName>
    <definedName name="solver_ssz" localSheetId="2" hidden="1">100</definedName>
    <definedName name="solver_ssz" localSheetId="4" hidden="1">100</definedName>
    <definedName name="solver_ssz" localSheetId="7" hidden="1">100</definedName>
    <definedName name="solver_ssz" localSheetId="6" hidden="1">100</definedName>
    <definedName name="solver_ssz" localSheetId="5" hidden="1">100</definedName>
    <definedName name="solver_ssz" localSheetId="3" hidden="1">100</definedName>
    <definedName name="solver_tim" localSheetId="0" hidden="1">100</definedName>
    <definedName name="solver_tim" localSheetId="1" hidden="1">100</definedName>
    <definedName name="solver_tim" localSheetId="2" hidden="1">100</definedName>
    <definedName name="solver_tim" localSheetId="4" hidden="1">100</definedName>
    <definedName name="solver_tim" localSheetId="7" hidden="1">100</definedName>
    <definedName name="solver_tim" localSheetId="6" hidden="1">100</definedName>
    <definedName name="solver_tim" localSheetId="5" hidden="1">100</definedName>
    <definedName name="solver_tim" localSheetId="3" hidden="1">100</definedName>
    <definedName name="solver_tol" localSheetId="0" hidden="1">0.05</definedName>
    <definedName name="solver_tol" localSheetId="1" hidden="1">0.05</definedName>
    <definedName name="solver_tol" localSheetId="2" hidden="1">0.05</definedName>
    <definedName name="solver_tol" localSheetId="4" hidden="1">0.05</definedName>
    <definedName name="solver_tol" localSheetId="7" hidden="1">0.05</definedName>
    <definedName name="solver_tol" localSheetId="6" hidden="1">0.05</definedName>
    <definedName name="solver_tol" localSheetId="5" hidden="1">0.05</definedName>
    <definedName name="solver_tol" localSheetId="3" hidden="1">0.05</definedName>
    <definedName name="solver_typ" localSheetId="0" hidden="1">1</definedName>
    <definedName name="solver_typ" localSheetId="1" hidden="1">2</definedName>
    <definedName name="solver_typ" localSheetId="2" hidden="1">2</definedName>
    <definedName name="solver_typ" localSheetId="4" hidden="1">2</definedName>
    <definedName name="solver_typ" localSheetId="7" hidden="1">2</definedName>
    <definedName name="solver_typ" localSheetId="6" hidden="1">2</definedName>
    <definedName name="solver_typ" localSheetId="5" hidden="1">2</definedName>
    <definedName name="solver_typ" localSheetId="3" hidden="1">2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4" hidden="1">0</definedName>
    <definedName name="solver_val" localSheetId="7" hidden="1">0</definedName>
    <definedName name="solver_val" localSheetId="6" hidden="1">0</definedName>
    <definedName name="solver_val" localSheetId="5" hidden="1">0</definedName>
    <definedName name="solver_val" localSheetId="3" hidden="1">0</definedName>
    <definedName name="solver_ver" localSheetId="1" hidden="1">3</definedName>
    <definedName name="solver_ver" localSheetId="2" hidden="1">3</definedName>
    <definedName name="solver_ver" localSheetId="4" hidden="1">3</definedName>
    <definedName name="solver_ver" localSheetId="7" hidden="1">3</definedName>
    <definedName name="solver_ver" localSheetId="6" hidden="1">3</definedName>
    <definedName name="solver_ver" localSheetId="5" hidden="1">3</definedName>
    <definedName name="solver_ver" localSheetId="3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D8" i="64" l="1"/>
  <c r="M8" i="64"/>
  <c r="B8" i="64"/>
  <c r="B13" i="64" s="1"/>
  <c r="AB13" i="64" s="1"/>
  <c r="AF8" i="64"/>
  <c r="AE8" i="64"/>
  <c r="U8" i="64"/>
  <c r="V8" i="64"/>
  <c r="W8" i="64"/>
  <c r="X8" i="64"/>
  <c r="Y8" i="64"/>
  <c r="Z8" i="64"/>
  <c r="T8" i="64"/>
  <c r="G8" i="64"/>
  <c r="H8" i="64"/>
  <c r="I8" i="64"/>
  <c r="J8" i="64"/>
  <c r="K8" i="64"/>
  <c r="L8" i="64"/>
  <c r="N8" i="64"/>
  <c r="O8" i="64"/>
  <c r="P8" i="64"/>
  <c r="Q8" i="64"/>
  <c r="R8" i="64"/>
  <c r="S8" i="64"/>
  <c r="D8" i="64"/>
  <c r="E8" i="64"/>
  <c r="C8" i="64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50" i="12"/>
  <c r="J51" i="12"/>
  <c r="J52" i="12"/>
  <c r="J53" i="12"/>
  <c r="J67" i="12"/>
  <c r="J68" i="12"/>
  <c r="J69" i="12"/>
  <c r="J70" i="12"/>
  <c r="J71" i="12"/>
  <c r="J72" i="12"/>
  <c r="J73" i="12"/>
  <c r="J74" i="12"/>
  <c r="J81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F72" i="63"/>
  <c r="H68" i="63"/>
  <c r="G68" i="63"/>
  <c r="F68" i="63"/>
  <c r="E68" i="63"/>
  <c r="D68" i="63"/>
  <c r="C68" i="63"/>
  <c r="F74" i="63" s="1"/>
  <c r="I67" i="63"/>
  <c r="H67" i="63"/>
  <c r="G67" i="63"/>
  <c r="F67" i="63"/>
  <c r="E67" i="63"/>
  <c r="D67" i="63"/>
  <c r="C67" i="63"/>
  <c r="F73" i="63" s="1"/>
  <c r="H66" i="63"/>
  <c r="G66" i="63"/>
  <c r="F66" i="63"/>
  <c r="E66" i="63"/>
  <c r="D66" i="63"/>
  <c r="C66" i="63"/>
  <c r="I66" i="63" s="1"/>
  <c r="E45" i="63"/>
  <c r="C42" i="63"/>
  <c r="A40" i="63"/>
  <c r="A39" i="63"/>
  <c r="A38" i="63"/>
  <c r="A37" i="63"/>
  <c r="A36" i="63"/>
  <c r="A35" i="63"/>
  <c r="A34" i="63"/>
  <c r="A33" i="63"/>
  <c r="A32" i="63"/>
  <c r="A31" i="63"/>
  <c r="A30" i="63"/>
  <c r="A29" i="63"/>
  <c r="A28" i="63"/>
  <c r="A27" i="63"/>
  <c r="A26" i="63"/>
  <c r="A25" i="63"/>
  <c r="B23" i="63"/>
  <c r="AS21" i="63"/>
  <c r="AR21" i="63"/>
  <c r="AQ21" i="63"/>
  <c r="AP21" i="63"/>
  <c r="AO21" i="63"/>
  <c r="AN21" i="63"/>
  <c r="AM21" i="63"/>
  <c r="AL21" i="63"/>
  <c r="AK21" i="63"/>
  <c r="AJ21" i="63"/>
  <c r="AI21" i="63"/>
  <c r="AH21" i="63"/>
  <c r="AG21" i="63"/>
  <c r="AF21" i="63"/>
  <c r="AE21" i="63"/>
  <c r="AD21" i="63"/>
  <c r="AC21" i="63"/>
  <c r="AB21" i="63"/>
  <c r="AA21" i="63"/>
  <c r="Z21" i="63"/>
  <c r="Y21" i="63"/>
  <c r="X21" i="63"/>
  <c r="W21" i="63"/>
  <c r="V21" i="63"/>
  <c r="U21" i="63"/>
  <c r="T21" i="63"/>
  <c r="S21" i="63"/>
  <c r="R21" i="63"/>
  <c r="Q21" i="63"/>
  <c r="P21" i="63"/>
  <c r="O21" i="63"/>
  <c r="N21" i="63"/>
  <c r="M21" i="63"/>
  <c r="L21" i="63"/>
  <c r="K21" i="63"/>
  <c r="J21" i="63"/>
  <c r="I21" i="63"/>
  <c r="H21" i="63"/>
  <c r="G21" i="63"/>
  <c r="F21" i="63"/>
  <c r="E21" i="63"/>
  <c r="E40" i="63" s="1"/>
  <c r="C21" i="63"/>
  <c r="AT40" i="63" s="1"/>
  <c r="K40" i="63" s="1"/>
  <c r="B21" i="63"/>
  <c r="B40" i="63" s="1"/>
  <c r="AS20" i="63"/>
  <c r="AR20" i="63"/>
  <c r="AQ20" i="63"/>
  <c r="AP20" i="63"/>
  <c r="AO20" i="63"/>
  <c r="AN20" i="63"/>
  <c r="AM20" i="63"/>
  <c r="AL20" i="63"/>
  <c r="AK20" i="63"/>
  <c r="AJ20" i="63"/>
  <c r="AI20" i="63"/>
  <c r="AH20" i="63"/>
  <c r="AG20" i="63"/>
  <c r="AF20" i="63"/>
  <c r="AE20" i="63"/>
  <c r="AD20" i="63"/>
  <c r="AC20" i="63"/>
  <c r="AB20" i="63"/>
  <c r="AA20" i="63"/>
  <c r="Z20" i="63"/>
  <c r="Y20" i="63"/>
  <c r="X20" i="63"/>
  <c r="W20" i="63"/>
  <c r="V20" i="63"/>
  <c r="U20" i="63"/>
  <c r="T20" i="63"/>
  <c r="S20" i="63"/>
  <c r="R20" i="63"/>
  <c r="Q20" i="63"/>
  <c r="P20" i="63"/>
  <c r="O20" i="63"/>
  <c r="N20" i="63"/>
  <c r="M20" i="63"/>
  <c r="L20" i="63"/>
  <c r="K20" i="63"/>
  <c r="J20" i="63"/>
  <c r="I20" i="63"/>
  <c r="H20" i="63"/>
  <c r="G20" i="63"/>
  <c r="F20" i="63"/>
  <c r="E20" i="63"/>
  <c r="E39" i="63" s="1"/>
  <c r="C20" i="63"/>
  <c r="AT39" i="63" s="1"/>
  <c r="B20" i="63"/>
  <c r="B39" i="63" s="1"/>
  <c r="AS19" i="63"/>
  <c r="AR19" i="63"/>
  <c r="AQ19" i="63"/>
  <c r="AP19" i="63"/>
  <c r="AO19" i="63"/>
  <c r="AN19" i="63"/>
  <c r="AM19" i="63"/>
  <c r="AL19" i="63"/>
  <c r="AK19" i="63"/>
  <c r="AJ19" i="63"/>
  <c r="AI19" i="63"/>
  <c r="AH19" i="63"/>
  <c r="AG19" i="63"/>
  <c r="AF19" i="63"/>
  <c r="AE19" i="63"/>
  <c r="AD19" i="63"/>
  <c r="AC19" i="63"/>
  <c r="AB19" i="63"/>
  <c r="AA19" i="63"/>
  <c r="Z19" i="63"/>
  <c r="Y19" i="63"/>
  <c r="X19" i="63"/>
  <c r="W19" i="63"/>
  <c r="V19" i="63"/>
  <c r="U19" i="63"/>
  <c r="T19" i="63"/>
  <c r="S19" i="63"/>
  <c r="R19" i="63"/>
  <c r="Q19" i="63"/>
  <c r="P19" i="63"/>
  <c r="O19" i="63"/>
  <c r="N19" i="63"/>
  <c r="M19" i="63"/>
  <c r="L19" i="63"/>
  <c r="K19" i="63"/>
  <c r="J19" i="63"/>
  <c r="I19" i="63"/>
  <c r="H19" i="63"/>
  <c r="G19" i="63"/>
  <c r="F19" i="63"/>
  <c r="E19" i="63"/>
  <c r="E38" i="63" s="1"/>
  <c r="C19" i="63"/>
  <c r="AT38" i="63" s="1"/>
  <c r="L38" i="63" s="1"/>
  <c r="B19" i="63"/>
  <c r="B38" i="63" s="1"/>
  <c r="AS18" i="63"/>
  <c r="AR18" i="63"/>
  <c r="AQ18" i="63"/>
  <c r="AP18" i="63"/>
  <c r="AO18" i="63"/>
  <c r="AN18" i="63"/>
  <c r="AM18" i="63"/>
  <c r="AL18" i="63"/>
  <c r="AK18" i="63"/>
  <c r="AJ18" i="63"/>
  <c r="AI18" i="63"/>
  <c r="AH18" i="63"/>
  <c r="AG18" i="63"/>
  <c r="AF18" i="63"/>
  <c r="AE18" i="63"/>
  <c r="AD18" i="63"/>
  <c r="AC18" i="63"/>
  <c r="AB18" i="63"/>
  <c r="AA18" i="63"/>
  <c r="Z18" i="63"/>
  <c r="Y18" i="63"/>
  <c r="X18" i="63"/>
  <c r="W18" i="63"/>
  <c r="V18" i="63"/>
  <c r="U18" i="63"/>
  <c r="T18" i="63"/>
  <c r="S18" i="63"/>
  <c r="R18" i="63"/>
  <c r="Q18" i="63"/>
  <c r="P18" i="63"/>
  <c r="O18" i="63"/>
  <c r="N18" i="63"/>
  <c r="M18" i="63"/>
  <c r="L18" i="63"/>
  <c r="K18" i="63"/>
  <c r="J18" i="63"/>
  <c r="I18" i="63"/>
  <c r="H18" i="63"/>
  <c r="G18" i="63"/>
  <c r="F18" i="63"/>
  <c r="E18" i="63"/>
  <c r="E37" i="63" s="1"/>
  <c r="C18" i="63"/>
  <c r="AT37" i="63" s="1"/>
  <c r="B18" i="63"/>
  <c r="B37" i="63" s="1"/>
  <c r="AS17" i="63"/>
  <c r="AR17" i="63"/>
  <c r="AQ17" i="63"/>
  <c r="AP17" i="63"/>
  <c r="AO17" i="63"/>
  <c r="AN17" i="63"/>
  <c r="AM17" i="63"/>
  <c r="AL17" i="63"/>
  <c r="AK17" i="63"/>
  <c r="AJ17" i="63"/>
  <c r="AI17" i="63"/>
  <c r="AH17" i="63"/>
  <c r="AG17" i="63"/>
  <c r="AF17" i="63"/>
  <c r="AE17" i="63"/>
  <c r="AD17" i="63"/>
  <c r="AC17" i="63"/>
  <c r="AB17" i="63"/>
  <c r="AA17" i="63"/>
  <c r="Z17" i="63"/>
  <c r="Y17" i="63"/>
  <c r="X17" i="63"/>
  <c r="W17" i="63"/>
  <c r="V17" i="63"/>
  <c r="U17" i="63"/>
  <c r="T17" i="63"/>
  <c r="S17" i="63"/>
  <c r="R17" i="63"/>
  <c r="Q17" i="63"/>
  <c r="P17" i="63"/>
  <c r="O17" i="63"/>
  <c r="N17" i="63"/>
  <c r="M17" i="63"/>
  <c r="L17" i="63"/>
  <c r="K17" i="63"/>
  <c r="J17" i="63"/>
  <c r="I17" i="63"/>
  <c r="H17" i="63"/>
  <c r="G17" i="63"/>
  <c r="F17" i="63"/>
  <c r="E17" i="63"/>
  <c r="E36" i="63" s="1"/>
  <c r="C17" i="63"/>
  <c r="AT36" i="63" s="1"/>
  <c r="K36" i="63" s="1"/>
  <c r="B17" i="63"/>
  <c r="B36" i="63" s="1"/>
  <c r="AS16" i="63"/>
  <c r="AR16" i="63"/>
  <c r="AQ16" i="63"/>
  <c r="AP16" i="63"/>
  <c r="AO16" i="63"/>
  <c r="AN16" i="63"/>
  <c r="AM16" i="63"/>
  <c r="AL16" i="63"/>
  <c r="AK16" i="63"/>
  <c r="AJ16" i="63"/>
  <c r="AI16" i="63"/>
  <c r="AH16" i="63"/>
  <c r="AG16" i="63"/>
  <c r="AF16" i="63"/>
  <c r="AE16" i="63"/>
  <c r="AD16" i="63"/>
  <c r="AC16" i="63"/>
  <c r="AB16" i="63"/>
  <c r="AA16" i="63"/>
  <c r="Z16" i="63"/>
  <c r="Y16" i="63"/>
  <c r="X16" i="63"/>
  <c r="W16" i="63"/>
  <c r="V16" i="63"/>
  <c r="U16" i="63"/>
  <c r="T16" i="63"/>
  <c r="S16" i="63"/>
  <c r="R16" i="63"/>
  <c r="Q16" i="63"/>
  <c r="P16" i="63"/>
  <c r="O16" i="63"/>
  <c r="N16" i="63"/>
  <c r="M16" i="63"/>
  <c r="L16" i="63"/>
  <c r="K16" i="63"/>
  <c r="J16" i="63"/>
  <c r="I16" i="63"/>
  <c r="H16" i="63"/>
  <c r="G16" i="63"/>
  <c r="F16" i="63"/>
  <c r="E16" i="63"/>
  <c r="E35" i="63" s="1"/>
  <c r="C16" i="63"/>
  <c r="AT35" i="63" s="1"/>
  <c r="K35" i="63" s="1"/>
  <c r="B16" i="63"/>
  <c r="B35" i="63" s="1"/>
  <c r="AS15" i="63"/>
  <c r="AR15" i="63"/>
  <c r="AQ15" i="63"/>
  <c r="AP15" i="63"/>
  <c r="AO15" i="63"/>
  <c r="AN15" i="63"/>
  <c r="AM15" i="63"/>
  <c r="AL15" i="63"/>
  <c r="AK15" i="63"/>
  <c r="AJ15" i="63"/>
  <c r="AI15" i="63"/>
  <c r="AH15" i="63"/>
  <c r="AG15" i="63"/>
  <c r="AF15" i="63"/>
  <c r="AE15" i="63"/>
  <c r="AD15" i="63"/>
  <c r="AC15" i="63"/>
  <c r="AB15" i="63"/>
  <c r="AA15" i="63"/>
  <c r="Z15" i="63"/>
  <c r="Y15" i="63"/>
  <c r="X15" i="63"/>
  <c r="W15" i="63"/>
  <c r="V15" i="63"/>
  <c r="U15" i="63"/>
  <c r="T15" i="63"/>
  <c r="S15" i="63"/>
  <c r="R15" i="63"/>
  <c r="Q15" i="63"/>
  <c r="P15" i="63"/>
  <c r="O15" i="63"/>
  <c r="N15" i="63"/>
  <c r="M15" i="63"/>
  <c r="L15" i="63"/>
  <c r="K15" i="63"/>
  <c r="J15" i="63"/>
  <c r="I15" i="63"/>
  <c r="H15" i="63"/>
  <c r="G15" i="63"/>
  <c r="F15" i="63"/>
  <c r="E15" i="63"/>
  <c r="E34" i="63" s="1"/>
  <c r="C15" i="63"/>
  <c r="AT34" i="63" s="1"/>
  <c r="B15" i="63"/>
  <c r="B34" i="63" s="1"/>
  <c r="AS14" i="63"/>
  <c r="AR14" i="63"/>
  <c r="AQ14" i="63"/>
  <c r="AP14" i="63"/>
  <c r="AO14" i="63"/>
  <c r="AN14" i="63"/>
  <c r="AM14" i="63"/>
  <c r="AL14" i="63"/>
  <c r="AK14" i="63"/>
  <c r="AJ14" i="63"/>
  <c r="AI14" i="63"/>
  <c r="AH14" i="63"/>
  <c r="AG14" i="63"/>
  <c r="AF14" i="63"/>
  <c r="AE14" i="63"/>
  <c r="AD14" i="63"/>
  <c r="AC14" i="63"/>
  <c r="AB14" i="63"/>
  <c r="AA14" i="63"/>
  <c r="Z14" i="63"/>
  <c r="Y14" i="63"/>
  <c r="X14" i="63"/>
  <c r="W14" i="63"/>
  <c r="V14" i="63"/>
  <c r="U14" i="63"/>
  <c r="T14" i="63"/>
  <c r="S14" i="63"/>
  <c r="R14" i="63"/>
  <c r="Q14" i="63"/>
  <c r="P14" i="63"/>
  <c r="O14" i="63"/>
  <c r="N14" i="63"/>
  <c r="M14" i="63"/>
  <c r="L14" i="63"/>
  <c r="K14" i="63"/>
  <c r="J14" i="63"/>
  <c r="I14" i="63"/>
  <c r="H14" i="63"/>
  <c r="G14" i="63"/>
  <c r="F14" i="63"/>
  <c r="E14" i="63"/>
  <c r="E33" i="63" s="1"/>
  <c r="C14" i="63"/>
  <c r="AT33" i="63" s="1"/>
  <c r="B14" i="63"/>
  <c r="B33" i="63" s="1"/>
  <c r="AS13" i="63"/>
  <c r="AR13" i="63"/>
  <c r="AQ13" i="63"/>
  <c r="AP13" i="63"/>
  <c r="AO13" i="63"/>
  <c r="AN13" i="63"/>
  <c r="AM13" i="63"/>
  <c r="AL13" i="63"/>
  <c r="AK13" i="63"/>
  <c r="AJ13" i="63"/>
  <c r="AI13" i="63"/>
  <c r="AH13" i="63"/>
  <c r="AG13" i="63"/>
  <c r="AF13" i="63"/>
  <c r="AE13" i="63"/>
  <c r="AD13" i="63"/>
  <c r="AC13" i="63"/>
  <c r="AB13" i="63"/>
  <c r="AA13" i="63"/>
  <c r="Z13" i="63"/>
  <c r="Y13" i="63"/>
  <c r="X13" i="63"/>
  <c r="W13" i="63"/>
  <c r="V13" i="63"/>
  <c r="U13" i="63"/>
  <c r="T13" i="63"/>
  <c r="S13" i="63"/>
  <c r="R13" i="63"/>
  <c r="Q13" i="63"/>
  <c r="P13" i="63"/>
  <c r="O13" i="63"/>
  <c r="N13" i="63"/>
  <c r="M13" i="63"/>
  <c r="L13" i="63"/>
  <c r="K13" i="63"/>
  <c r="J13" i="63"/>
  <c r="I13" i="63"/>
  <c r="H13" i="63"/>
  <c r="G13" i="63"/>
  <c r="F13" i="63"/>
  <c r="E13" i="63"/>
  <c r="E32" i="63" s="1"/>
  <c r="C13" i="63"/>
  <c r="AT32" i="63" s="1"/>
  <c r="K32" i="63" s="1"/>
  <c r="B13" i="63"/>
  <c r="B32" i="63" s="1"/>
  <c r="AS12" i="63"/>
  <c r="AR12" i="63"/>
  <c r="AQ12" i="63"/>
  <c r="AP12" i="63"/>
  <c r="AO12" i="63"/>
  <c r="AN12" i="63"/>
  <c r="AM12" i="63"/>
  <c r="AL12" i="63"/>
  <c r="AK12" i="63"/>
  <c r="AJ12" i="63"/>
  <c r="AI12" i="63"/>
  <c r="AH12" i="63"/>
  <c r="AG12" i="63"/>
  <c r="AF12" i="63"/>
  <c r="AE12" i="63"/>
  <c r="AD12" i="63"/>
  <c r="AC12" i="63"/>
  <c r="AB12" i="63"/>
  <c r="AA12" i="63"/>
  <c r="Z12" i="63"/>
  <c r="Y12" i="63"/>
  <c r="X12" i="63"/>
  <c r="W12" i="63"/>
  <c r="V12" i="63"/>
  <c r="U12" i="63"/>
  <c r="T12" i="63"/>
  <c r="S12" i="63"/>
  <c r="R12" i="63"/>
  <c r="Q12" i="63"/>
  <c r="P12" i="63"/>
  <c r="O12" i="63"/>
  <c r="N12" i="63"/>
  <c r="M12" i="63"/>
  <c r="L12" i="63"/>
  <c r="K12" i="63"/>
  <c r="J12" i="63"/>
  <c r="I12" i="63"/>
  <c r="H12" i="63"/>
  <c r="G12" i="63"/>
  <c r="F12" i="63"/>
  <c r="E12" i="63"/>
  <c r="E31" i="63" s="1"/>
  <c r="C12" i="63"/>
  <c r="AT31" i="63" s="1"/>
  <c r="B12" i="63"/>
  <c r="B31" i="63" s="1"/>
  <c r="AS11" i="63"/>
  <c r="AR11" i="63"/>
  <c r="AQ11" i="63"/>
  <c r="AP11" i="63"/>
  <c r="AO11" i="63"/>
  <c r="AN11" i="63"/>
  <c r="AM11" i="63"/>
  <c r="AL11" i="63"/>
  <c r="AK11" i="63"/>
  <c r="AJ11" i="63"/>
  <c r="AI11" i="63"/>
  <c r="AH11" i="63"/>
  <c r="AG11" i="63"/>
  <c r="AF11" i="63"/>
  <c r="AE11" i="63"/>
  <c r="AD11" i="63"/>
  <c r="AC11" i="63"/>
  <c r="AB11" i="63"/>
  <c r="AA11" i="63"/>
  <c r="Z11" i="63"/>
  <c r="Y11" i="63"/>
  <c r="X11" i="63"/>
  <c r="W11" i="63"/>
  <c r="V11" i="63"/>
  <c r="U11" i="63"/>
  <c r="T11" i="63"/>
  <c r="S11" i="63"/>
  <c r="R11" i="63"/>
  <c r="Q11" i="63"/>
  <c r="P11" i="63"/>
  <c r="O11" i="63"/>
  <c r="N11" i="63"/>
  <c r="M11" i="63"/>
  <c r="L11" i="63"/>
  <c r="K11" i="63"/>
  <c r="J11" i="63"/>
  <c r="I11" i="63"/>
  <c r="H11" i="63"/>
  <c r="G11" i="63"/>
  <c r="F11" i="63"/>
  <c r="E11" i="63"/>
  <c r="E30" i="63" s="1"/>
  <c r="C11" i="63"/>
  <c r="AT30" i="63" s="1"/>
  <c r="B11" i="63"/>
  <c r="B30" i="63" s="1"/>
  <c r="AS10" i="63"/>
  <c r="AR10" i="63"/>
  <c r="AQ10" i="63"/>
  <c r="AP10" i="63"/>
  <c r="AO10" i="63"/>
  <c r="AN10" i="63"/>
  <c r="AM10" i="63"/>
  <c r="AL10" i="63"/>
  <c r="AK10" i="63"/>
  <c r="AJ10" i="63"/>
  <c r="AI10" i="63"/>
  <c r="AH10" i="63"/>
  <c r="AG10" i="63"/>
  <c r="AF10" i="63"/>
  <c r="AE10" i="63"/>
  <c r="AD10" i="63"/>
  <c r="AC10" i="63"/>
  <c r="AB10" i="63"/>
  <c r="AA10" i="63"/>
  <c r="Z10" i="63"/>
  <c r="Y10" i="63"/>
  <c r="X10" i="63"/>
  <c r="W10" i="63"/>
  <c r="V10" i="63"/>
  <c r="U10" i="63"/>
  <c r="T10" i="63"/>
  <c r="S10" i="63"/>
  <c r="R10" i="63"/>
  <c r="Q10" i="63"/>
  <c r="P10" i="63"/>
  <c r="O10" i="63"/>
  <c r="N10" i="63"/>
  <c r="M10" i="63"/>
  <c r="L10" i="63"/>
  <c r="K10" i="63"/>
  <c r="J10" i="63"/>
  <c r="I10" i="63"/>
  <c r="H10" i="63"/>
  <c r="G10" i="63"/>
  <c r="F10" i="63"/>
  <c r="E10" i="63"/>
  <c r="E29" i="63" s="1"/>
  <c r="C10" i="63"/>
  <c r="AT29" i="63" s="1"/>
  <c r="K29" i="63" s="1"/>
  <c r="B10" i="63"/>
  <c r="B29" i="63" s="1"/>
  <c r="AS9" i="63"/>
  <c r="AR9" i="63"/>
  <c r="AQ9" i="63"/>
  <c r="AP9" i="63"/>
  <c r="AO9" i="63"/>
  <c r="AN9" i="63"/>
  <c r="AM9" i="63"/>
  <c r="AL9" i="63"/>
  <c r="AK9" i="63"/>
  <c r="AJ9" i="63"/>
  <c r="AI9" i="63"/>
  <c r="AH9" i="63"/>
  <c r="AG9" i="63"/>
  <c r="AF9" i="63"/>
  <c r="AE9" i="63"/>
  <c r="AD9" i="63"/>
  <c r="AC9" i="63"/>
  <c r="AB9" i="63"/>
  <c r="AA9" i="63"/>
  <c r="Z9" i="63"/>
  <c r="Y9" i="63"/>
  <c r="X9" i="63"/>
  <c r="W9" i="63"/>
  <c r="V9" i="63"/>
  <c r="U9" i="63"/>
  <c r="T9" i="63"/>
  <c r="S9" i="63"/>
  <c r="R9" i="63"/>
  <c r="Q9" i="63"/>
  <c r="P9" i="63"/>
  <c r="O9" i="63"/>
  <c r="N9" i="63"/>
  <c r="M9" i="63"/>
  <c r="L9" i="63"/>
  <c r="K9" i="63"/>
  <c r="J9" i="63"/>
  <c r="I9" i="63"/>
  <c r="H9" i="63"/>
  <c r="G9" i="63"/>
  <c r="F9" i="63"/>
  <c r="E9" i="63"/>
  <c r="E28" i="63" s="1"/>
  <c r="C9" i="63"/>
  <c r="AT28" i="63" s="1"/>
  <c r="B9" i="63"/>
  <c r="B28" i="63" s="1"/>
  <c r="AS8" i="63"/>
  <c r="AR8" i="63"/>
  <c r="AQ8" i="63"/>
  <c r="AP8" i="63"/>
  <c r="AO8" i="63"/>
  <c r="AN8" i="63"/>
  <c r="AM8" i="63"/>
  <c r="AL8" i="63"/>
  <c r="AK8" i="63"/>
  <c r="AJ8" i="63"/>
  <c r="AI8" i="63"/>
  <c r="AH8" i="63"/>
  <c r="AG8" i="63"/>
  <c r="AF8" i="63"/>
  <c r="AE8" i="63"/>
  <c r="AD8" i="63"/>
  <c r="AC8" i="63"/>
  <c r="AB8" i="63"/>
  <c r="AA8" i="63"/>
  <c r="Z8" i="63"/>
  <c r="Y8" i="63"/>
  <c r="X8" i="63"/>
  <c r="W8" i="63"/>
  <c r="V8" i="63"/>
  <c r="U8" i="63"/>
  <c r="T8" i="63"/>
  <c r="S8" i="63"/>
  <c r="R8" i="63"/>
  <c r="Q8" i="63"/>
  <c r="P8" i="63"/>
  <c r="O8" i="63"/>
  <c r="N8" i="63"/>
  <c r="M8" i="63"/>
  <c r="L8" i="63"/>
  <c r="K8" i="63"/>
  <c r="J8" i="63"/>
  <c r="I8" i="63"/>
  <c r="H8" i="63"/>
  <c r="G8" i="63"/>
  <c r="F8" i="63"/>
  <c r="E8" i="63"/>
  <c r="E27" i="63" s="1"/>
  <c r="C8" i="63"/>
  <c r="AT27" i="63" s="1"/>
  <c r="B8" i="63"/>
  <c r="B27" i="63" s="1"/>
  <c r="AS7" i="63"/>
  <c r="AR7" i="63"/>
  <c r="AQ7" i="63"/>
  <c r="AP7" i="63"/>
  <c r="AO7" i="63"/>
  <c r="AN7" i="63"/>
  <c r="AM7" i="63"/>
  <c r="AL7" i="63"/>
  <c r="AK7" i="63"/>
  <c r="AJ7" i="63"/>
  <c r="AI7" i="63"/>
  <c r="AH7" i="63"/>
  <c r="AG7" i="63"/>
  <c r="AF7" i="63"/>
  <c r="AE7" i="63"/>
  <c r="AD7" i="63"/>
  <c r="AC7" i="63"/>
  <c r="AB7" i="63"/>
  <c r="AA7" i="63"/>
  <c r="Z7" i="63"/>
  <c r="Y7" i="63"/>
  <c r="X7" i="63"/>
  <c r="W7" i="63"/>
  <c r="V7" i="63"/>
  <c r="U7" i="63"/>
  <c r="T7" i="63"/>
  <c r="S7" i="63"/>
  <c r="R7" i="63"/>
  <c r="Q7" i="63"/>
  <c r="P7" i="63"/>
  <c r="O7" i="63"/>
  <c r="N7" i="63"/>
  <c r="M7" i="63"/>
  <c r="L7" i="63"/>
  <c r="K7" i="63"/>
  <c r="J7" i="63"/>
  <c r="I7" i="63"/>
  <c r="H7" i="63"/>
  <c r="G7" i="63"/>
  <c r="F7" i="63"/>
  <c r="E7" i="63"/>
  <c r="E26" i="63" s="1"/>
  <c r="C7" i="63"/>
  <c r="AT26" i="63" s="1"/>
  <c r="B7" i="63"/>
  <c r="B26" i="63" s="1"/>
  <c r="AS6" i="63"/>
  <c r="AR6" i="63"/>
  <c r="AQ6" i="63"/>
  <c r="AP6" i="63"/>
  <c r="AO6" i="63"/>
  <c r="AN6" i="63"/>
  <c r="AM6" i="63"/>
  <c r="AL6" i="63"/>
  <c r="AK6" i="63"/>
  <c r="AJ6" i="63"/>
  <c r="AI6" i="63"/>
  <c r="AH6" i="63"/>
  <c r="AG6" i="63"/>
  <c r="AF6" i="63"/>
  <c r="AE6" i="63"/>
  <c r="AD6" i="63"/>
  <c r="AC6" i="63"/>
  <c r="AB6" i="63"/>
  <c r="AA6" i="63"/>
  <c r="Z6" i="63"/>
  <c r="Y6" i="63"/>
  <c r="X6" i="63"/>
  <c r="W6" i="63"/>
  <c r="V6" i="63"/>
  <c r="U6" i="63"/>
  <c r="T6" i="63"/>
  <c r="S6" i="63"/>
  <c r="R6" i="63"/>
  <c r="Q6" i="63"/>
  <c r="P6" i="63"/>
  <c r="O6" i="63"/>
  <c r="N6" i="63"/>
  <c r="M6" i="63"/>
  <c r="L6" i="63"/>
  <c r="AV25" i="63" s="1"/>
  <c r="K6" i="63"/>
  <c r="J6" i="63"/>
  <c r="I6" i="63"/>
  <c r="H6" i="63"/>
  <c r="G6" i="63"/>
  <c r="F6" i="63"/>
  <c r="E6" i="63"/>
  <c r="E25" i="63" s="1"/>
  <c r="C6" i="63"/>
  <c r="AT25" i="63" s="1"/>
  <c r="L25" i="63" s="1"/>
  <c r="B6" i="63"/>
  <c r="B25" i="63" s="1"/>
  <c r="E45" i="53"/>
  <c r="E45" i="62"/>
  <c r="H68" i="62"/>
  <c r="G68" i="62"/>
  <c r="F68" i="62"/>
  <c r="E68" i="62"/>
  <c r="D68" i="62"/>
  <c r="C68" i="62"/>
  <c r="H67" i="62"/>
  <c r="G67" i="62"/>
  <c r="F67" i="62"/>
  <c r="E67" i="62"/>
  <c r="D67" i="62"/>
  <c r="C67" i="62"/>
  <c r="H66" i="62"/>
  <c r="G66" i="62"/>
  <c r="F66" i="62"/>
  <c r="E66" i="62"/>
  <c r="D66" i="62"/>
  <c r="C66" i="62"/>
  <c r="I66" i="62" s="1"/>
  <c r="C42" i="62"/>
  <c r="A40" i="62"/>
  <c r="A39" i="62"/>
  <c r="A38" i="62"/>
  <c r="A37" i="62"/>
  <c r="A36" i="62"/>
  <c r="A35" i="62"/>
  <c r="A34" i="62"/>
  <c r="A33" i="62"/>
  <c r="A32" i="62"/>
  <c r="A31" i="62"/>
  <c r="A30" i="62"/>
  <c r="A29" i="62"/>
  <c r="A28" i="62"/>
  <c r="A27" i="62"/>
  <c r="A26" i="62"/>
  <c r="A25" i="62"/>
  <c r="B23" i="62"/>
  <c r="AS21" i="62"/>
  <c r="AR21" i="62"/>
  <c r="AQ21" i="62"/>
  <c r="AP21" i="62"/>
  <c r="AO21" i="62"/>
  <c r="AN21" i="62"/>
  <c r="AM21" i="62"/>
  <c r="AL21" i="62"/>
  <c r="AK21" i="62"/>
  <c r="AJ21" i="62"/>
  <c r="AI21" i="62"/>
  <c r="AH21" i="62"/>
  <c r="AG21" i="62"/>
  <c r="AF21" i="62"/>
  <c r="AE21" i="62"/>
  <c r="AD21" i="62"/>
  <c r="AC21" i="62"/>
  <c r="AB21" i="62"/>
  <c r="AA21" i="62"/>
  <c r="Z21" i="62"/>
  <c r="Y21" i="62"/>
  <c r="X21" i="62"/>
  <c r="W21" i="62"/>
  <c r="V21" i="62"/>
  <c r="U21" i="62"/>
  <c r="T21" i="62"/>
  <c r="S21" i="62"/>
  <c r="R21" i="62"/>
  <c r="Q21" i="62"/>
  <c r="P21" i="62"/>
  <c r="O21" i="62"/>
  <c r="N21" i="62"/>
  <c r="M21" i="62"/>
  <c r="L21" i="62"/>
  <c r="K21" i="62"/>
  <c r="J21" i="62"/>
  <c r="I21" i="62"/>
  <c r="H21" i="62"/>
  <c r="G21" i="62"/>
  <c r="F21" i="62"/>
  <c r="E21" i="62"/>
  <c r="E40" i="62" s="1"/>
  <c r="C21" i="62"/>
  <c r="AT40" i="62" s="1"/>
  <c r="L40" i="62" s="1"/>
  <c r="B21" i="62"/>
  <c r="B40" i="62" s="1"/>
  <c r="AS20" i="62"/>
  <c r="AR20" i="62"/>
  <c r="AQ20" i="62"/>
  <c r="AP20" i="62"/>
  <c r="AO20" i="62"/>
  <c r="AN20" i="62"/>
  <c r="AM20" i="62"/>
  <c r="AL20" i="62"/>
  <c r="AK20" i="62"/>
  <c r="AJ20" i="62"/>
  <c r="AI20" i="62"/>
  <c r="AH20" i="62"/>
  <c r="AG20" i="62"/>
  <c r="AF20" i="62"/>
  <c r="AE20" i="62"/>
  <c r="AD20" i="62"/>
  <c r="AC20" i="62"/>
  <c r="AB20" i="62"/>
  <c r="AA20" i="62"/>
  <c r="Z20" i="62"/>
  <c r="Y20" i="62"/>
  <c r="X20" i="62"/>
  <c r="W20" i="62"/>
  <c r="V20" i="62"/>
  <c r="U20" i="62"/>
  <c r="T20" i="62"/>
  <c r="S20" i="62"/>
  <c r="R20" i="62"/>
  <c r="Q20" i="62"/>
  <c r="P20" i="62"/>
  <c r="O20" i="62"/>
  <c r="N20" i="62"/>
  <c r="M20" i="62"/>
  <c r="L20" i="62"/>
  <c r="K20" i="62"/>
  <c r="J20" i="62"/>
  <c r="I20" i="62"/>
  <c r="H20" i="62"/>
  <c r="G20" i="62"/>
  <c r="F20" i="62"/>
  <c r="E20" i="62"/>
  <c r="E39" i="62" s="1"/>
  <c r="C20" i="62"/>
  <c r="AT39" i="62" s="1"/>
  <c r="L39" i="62" s="1"/>
  <c r="B20" i="62"/>
  <c r="B39" i="62" s="1"/>
  <c r="AS19" i="62"/>
  <c r="AR19" i="62"/>
  <c r="AQ19" i="62"/>
  <c r="AP19" i="62"/>
  <c r="AO19" i="62"/>
  <c r="AN19" i="62"/>
  <c r="AM19" i="62"/>
  <c r="AL19" i="62"/>
  <c r="AK19" i="62"/>
  <c r="AJ19" i="62"/>
  <c r="AI19" i="62"/>
  <c r="AH19" i="62"/>
  <c r="AG19" i="62"/>
  <c r="AF19" i="62"/>
  <c r="AE19" i="62"/>
  <c r="AD19" i="62"/>
  <c r="AC19" i="62"/>
  <c r="AB19" i="62"/>
  <c r="AA19" i="62"/>
  <c r="Z19" i="62"/>
  <c r="Y19" i="62"/>
  <c r="X19" i="62"/>
  <c r="W19" i="62"/>
  <c r="V19" i="62"/>
  <c r="U19" i="62"/>
  <c r="T19" i="62"/>
  <c r="S19" i="62"/>
  <c r="R19" i="62"/>
  <c r="Q19" i="62"/>
  <c r="P19" i="62"/>
  <c r="O19" i="62"/>
  <c r="N19" i="62"/>
  <c r="M19" i="62"/>
  <c r="L19" i="62"/>
  <c r="K19" i="62"/>
  <c r="J19" i="62"/>
  <c r="I19" i="62"/>
  <c r="H19" i="62"/>
  <c r="G19" i="62"/>
  <c r="F19" i="62"/>
  <c r="E19" i="62"/>
  <c r="E38" i="62" s="1"/>
  <c r="C19" i="62"/>
  <c r="AT38" i="62" s="1"/>
  <c r="L38" i="62" s="1"/>
  <c r="B19" i="62"/>
  <c r="B38" i="62" s="1"/>
  <c r="AS18" i="62"/>
  <c r="AR18" i="62"/>
  <c r="AQ18" i="62"/>
  <c r="AP18" i="62"/>
  <c r="AO18" i="62"/>
  <c r="AN18" i="62"/>
  <c r="AM18" i="62"/>
  <c r="AL18" i="62"/>
  <c r="AK18" i="62"/>
  <c r="AJ18" i="62"/>
  <c r="AI18" i="62"/>
  <c r="AH18" i="62"/>
  <c r="AG18" i="62"/>
  <c r="AF18" i="62"/>
  <c r="AE18" i="62"/>
  <c r="AD18" i="62"/>
  <c r="AC18" i="62"/>
  <c r="AB18" i="62"/>
  <c r="AA18" i="62"/>
  <c r="Z18" i="62"/>
  <c r="Y18" i="62"/>
  <c r="X18" i="62"/>
  <c r="W18" i="62"/>
  <c r="V18" i="62"/>
  <c r="U18" i="62"/>
  <c r="T18" i="62"/>
  <c r="S18" i="62"/>
  <c r="R18" i="62"/>
  <c r="Q18" i="62"/>
  <c r="P18" i="62"/>
  <c r="O18" i="62"/>
  <c r="N18" i="62"/>
  <c r="M18" i="62"/>
  <c r="L18" i="62"/>
  <c r="K18" i="62"/>
  <c r="J18" i="62"/>
  <c r="I18" i="62"/>
  <c r="H18" i="62"/>
  <c r="G18" i="62"/>
  <c r="F18" i="62"/>
  <c r="E18" i="62"/>
  <c r="E37" i="62" s="1"/>
  <c r="C18" i="62"/>
  <c r="AT37" i="62" s="1"/>
  <c r="K37" i="62" s="1"/>
  <c r="B18" i="62"/>
  <c r="B37" i="62" s="1"/>
  <c r="AS17" i="62"/>
  <c r="AR17" i="62"/>
  <c r="AQ17" i="62"/>
  <c r="AP17" i="62"/>
  <c r="AO17" i="62"/>
  <c r="AN17" i="62"/>
  <c r="AM17" i="62"/>
  <c r="AL17" i="62"/>
  <c r="AK17" i="62"/>
  <c r="AJ17" i="62"/>
  <c r="AI17" i="62"/>
  <c r="AH17" i="62"/>
  <c r="AG17" i="62"/>
  <c r="AF17" i="62"/>
  <c r="AE17" i="62"/>
  <c r="AD17" i="62"/>
  <c r="AC17" i="62"/>
  <c r="AB17" i="62"/>
  <c r="AA17" i="62"/>
  <c r="Z17" i="62"/>
  <c r="Y17" i="62"/>
  <c r="X17" i="62"/>
  <c r="W17" i="62"/>
  <c r="V17" i="62"/>
  <c r="U17" i="62"/>
  <c r="T17" i="62"/>
  <c r="S17" i="62"/>
  <c r="R17" i="62"/>
  <c r="Q17" i="62"/>
  <c r="P17" i="62"/>
  <c r="O17" i="62"/>
  <c r="N17" i="62"/>
  <c r="M17" i="62"/>
  <c r="L17" i="62"/>
  <c r="K17" i="62"/>
  <c r="J17" i="62"/>
  <c r="I17" i="62"/>
  <c r="H17" i="62"/>
  <c r="G17" i="62"/>
  <c r="F17" i="62"/>
  <c r="E17" i="62"/>
  <c r="E36" i="62" s="1"/>
  <c r="C17" i="62"/>
  <c r="AT36" i="62" s="1"/>
  <c r="B17" i="62"/>
  <c r="B36" i="62" s="1"/>
  <c r="AS16" i="62"/>
  <c r="AR16" i="62"/>
  <c r="AQ16" i="62"/>
  <c r="AP16" i="62"/>
  <c r="AO16" i="62"/>
  <c r="AN16" i="62"/>
  <c r="AM16" i="62"/>
  <c r="AL16" i="62"/>
  <c r="AK16" i="62"/>
  <c r="AJ16" i="62"/>
  <c r="AI16" i="62"/>
  <c r="AH16" i="62"/>
  <c r="AG16" i="62"/>
  <c r="AF16" i="62"/>
  <c r="AE16" i="62"/>
  <c r="AD16" i="62"/>
  <c r="AC16" i="62"/>
  <c r="AB16" i="62"/>
  <c r="AA16" i="62"/>
  <c r="Z16" i="62"/>
  <c r="Y16" i="62"/>
  <c r="X16" i="62"/>
  <c r="W16" i="62"/>
  <c r="V16" i="62"/>
  <c r="U16" i="62"/>
  <c r="S16" i="62"/>
  <c r="R16" i="62"/>
  <c r="Q16" i="62"/>
  <c r="P16" i="62"/>
  <c r="O16" i="62"/>
  <c r="N16" i="62"/>
  <c r="L16" i="62"/>
  <c r="K16" i="62"/>
  <c r="J16" i="62"/>
  <c r="I16" i="62"/>
  <c r="H16" i="62"/>
  <c r="G16" i="62"/>
  <c r="F16" i="62"/>
  <c r="E16" i="62"/>
  <c r="E35" i="62" s="1"/>
  <c r="C16" i="62"/>
  <c r="AT35" i="62" s="1"/>
  <c r="B16" i="62"/>
  <c r="B35" i="62" s="1"/>
  <c r="AS15" i="62"/>
  <c r="AR15" i="62"/>
  <c r="AQ15" i="62"/>
  <c r="AP15" i="62"/>
  <c r="AO15" i="62"/>
  <c r="AN15" i="62"/>
  <c r="AM15" i="62"/>
  <c r="AL15" i="62"/>
  <c r="AK15" i="62"/>
  <c r="AJ15" i="62"/>
  <c r="AI15" i="62"/>
  <c r="AH15" i="62"/>
  <c r="AG15" i="62"/>
  <c r="AF15" i="62"/>
  <c r="AE15" i="62"/>
  <c r="AD15" i="62"/>
  <c r="AC15" i="62"/>
  <c r="AB15" i="62"/>
  <c r="AA15" i="62"/>
  <c r="Z15" i="62"/>
  <c r="Y15" i="62"/>
  <c r="X15" i="62"/>
  <c r="W15" i="62"/>
  <c r="V15" i="62"/>
  <c r="U15" i="62"/>
  <c r="T15" i="62"/>
  <c r="S15" i="62"/>
  <c r="R15" i="62"/>
  <c r="Q15" i="62"/>
  <c r="P15" i="62"/>
  <c r="O15" i="62"/>
  <c r="N15" i="62"/>
  <c r="L15" i="62"/>
  <c r="K15" i="62"/>
  <c r="J15" i="62"/>
  <c r="I15" i="62"/>
  <c r="H15" i="62"/>
  <c r="G15" i="62"/>
  <c r="F15" i="62"/>
  <c r="E15" i="62"/>
  <c r="E34" i="62" s="1"/>
  <c r="C15" i="62"/>
  <c r="AT34" i="62" s="1"/>
  <c r="B15" i="62"/>
  <c r="B34" i="62" s="1"/>
  <c r="AS14" i="62"/>
  <c r="AR14" i="62"/>
  <c r="AQ14" i="62"/>
  <c r="AP14" i="62"/>
  <c r="AO14" i="62"/>
  <c r="AN14" i="62"/>
  <c r="AM14" i="62"/>
  <c r="AL14" i="62"/>
  <c r="AK14" i="62"/>
  <c r="AJ14" i="62"/>
  <c r="AI14" i="62"/>
  <c r="AH14" i="62"/>
  <c r="AG14" i="62"/>
  <c r="AF14" i="62"/>
  <c r="AE14" i="62"/>
  <c r="AD14" i="62"/>
  <c r="AC14" i="62"/>
  <c r="AB14" i="62"/>
  <c r="AA14" i="62"/>
  <c r="Z14" i="62"/>
  <c r="Y14" i="62"/>
  <c r="X14" i="62"/>
  <c r="W14" i="62"/>
  <c r="V14" i="62"/>
  <c r="U14" i="62"/>
  <c r="S14" i="62"/>
  <c r="Q14" i="62"/>
  <c r="P14" i="62"/>
  <c r="N14" i="62"/>
  <c r="L14" i="62"/>
  <c r="K14" i="62"/>
  <c r="I14" i="62"/>
  <c r="F14" i="62"/>
  <c r="E14" i="62"/>
  <c r="E33" i="62" s="1"/>
  <c r="C14" i="62"/>
  <c r="AT33" i="62" s="1"/>
  <c r="B14" i="62"/>
  <c r="B33" i="62" s="1"/>
  <c r="AS13" i="62"/>
  <c r="AR13" i="62"/>
  <c r="AQ13" i="62"/>
  <c r="AP13" i="62"/>
  <c r="AO13" i="62"/>
  <c r="AN13" i="62"/>
  <c r="AM13" i="62"/>
  <c r="AL13" i="62"/>
  <c r="AK13" i="62"/>
  <c r="AJ13" i="62"/>
  <c r="AI13" i="62"/>
  <c r="AH13" i="62"/>
  <c r="AG13" i="62"/>
  <c r="AF13" i="62"/>
  <c r="AE13" i="62"/>
  <c r="AD13" i="62"/>
  <c r="AC13" i="62"/>
  <c r="AB13" i="62"/>
  <c r="AA13" i="62"/>
  <c r="Z13" i="62"/>
  <c r="Y13" i="62"/>
  <c r="X13" i="62"/>
  <c r="W13" i="62"/>
  <c r="V13" i="62"/>
  <c r="U13" i="62"/>
  <c r="S13" i="62"/>
  <c r="Q13" i="62"/>
  <c r="P13" i="62"/>
  <c r="N13" i="62"/>
  <c r="L13" i="62"/>
  <c r="K13" i="62"/>
  <c r="I13" i="62"/>
  <c r="F13" i="62"/>
  <c r="E13" i="62"/>
  <c r="E32" i="62" s="1"/>
  <c r="C13" i="62"/>
  <c r="AT32" i="62" s="1"/>
  <c r="L32" i="62" s="1"/>
  <c r="B13" i="62"/>
  <c r="B32" i="62" s="1"/>
  <c r="AS12" i="62"/>
  <c r="AR12" i="62"/>
  <c r="AQ12" i="62"/>
  <c r="AP12" i="62"/>
  <c r="AO12" i="62"/>
  <c r="AN12" i="62"/>
  <c r="AM12" i="62"/>
  <c r="AL12" i="62"/>
  <c r="AK12" i="62"/>
  <c r="AJ12" i="62"/>
  <c r="AI12" i="62"/>
  <c r="AH12" i="62"/>
  <c r="AG12" i="62"/>
  <c r="AF12" i="62"/>
  <c r="AE12" i="62"/>
  <c r="AD12" i="62"/>
  <c r="AC12" i="62"/>
  <c r="AB12" i="62"/>
  <c r="AA12" i="62"/>
  <c r="Z12" i="62"/>
  <c r="Y12" i="62"/>
  <c r="X12" i="62"/>
  <c r="W12" i="62"/>
  <c r="V12" i="62"/>
  <c r="U12" i="62"/>
  <c r="S12" i="62"/>
  <c r="Q12" i="62"/>
  <c r="P12" i="62"/>
  <c r="N12" i="62"/>
  <c r="L12" i="62"/>
  <c r="K12" i="62"/>
  <c r="I12" i="62"/>
  <c r="F12" i="62"/>
  <c r="E12" i="62"/>
  <c r="E31" i="62" s="1"/>
  <c r="C12" i="62"/>
  <c r="AT31" i="62" s="1"/>
  <c r="B12" i="62"/>
  <c r="B31" i="62" s="1"/>
  <c r="AS11" i="62"/>
  <c r="AR11" i="62"/>
  <c r="AQ11" i="62"/>
  <c r="AP11" i="62"/>
  <c r="AO11" i="62"/>
  <c r="AN11" i="62"/>
  <c r="AM11" i="62"/>
  <c r="AL11" i="62"/>
  <c r="AK11" i="62"/>
  <c r="AJ11" i="62"/>
  <c r="AI11" i="62"/>
  <c r="AH11" i="62"/>
  <c r="AG11" i="62"/>
  <c r="AF11" i="62"/>
  <c r="AE11" i="62"/>
  <c r="AD11" i="62"/>
  <c r="AC11" i="62"/>
  <c r="AB11" i="62"/>
  <c r="AA11" i="62"/>
  <c r="Z11" i="62"/>
  <c r="Y11" i="62"/>
  <c r="X11" i="62"/>
  <c r="W11" i="62"/>
  <c r="V11" i="62"/>
  <c r="U11" i="62"/>
  <c r="S11" i="62"/>
  <c r="Q11" i="62"/>
  <c r="P11" i="62"/>
  <c r="N11" i="62"/>
  <c r="L11" i="62"/>
  <c r="K11" i="62"/>
  <c r="I11" i="62"/>
  <c r="F11" i="62"/>
  <c r="E11" i="62"/>
  <c r="E30" i="62" s="1"/>
  <c r="C11" i="62"/>
  <c r="AT30" i="62" s="1"/>
  <c r="B11" i="62"/>
  <c r="B30" i="62" s="1"/>
  <c r="AS10" i="62"/>
  <c r="AR10" i="62"/>
  <c r="AQ10" i="62"/>
  <c r="AP10" i="62"/>
  <c r="AO10" i="62"/>
  <c r="AN10" i="62"/>
  <c r="AM10" i="62"/>
  <c r="AL10" i="62"/>
  <c r="AK10" i="62"/>
  <c r="AJ10" i="62"/>
  <c r="AI10" i="62"/>
  <c r="AH10" i="62"/>
  <c r="AG10" i="62"/>
  <c r="AF10" i="62"/>
  <c r="AE10" i="62"/>
  <c r="AD10" i="62"/>
  <c r="AC10" i="62"/>
  <c r="AB10" i="62"/>
  <c r="AA10" i="62"/>
  <c r="Z10" i="62"/>
  <c r="Y10" i="62"/>
  <c r="X10" i="62"/>
  <c r="W10" i="62"/>
  <c r="V10" i="62"/>
  <c r="U10" i="62"/>
  <c r="S10" i="62"/>
  <c r="Q10" i="62"/>
  <c r="P10" i="62"/>
  <c r="N10" i="62"/>
  <c r="L10" i="62"/>
  <c r="K10" i="62"/>
  <c r="I10" i="62"/>
  <c r="F10" i="62"/>
  <c r="E10" i="62"/>
  <c r="E29" i="62" s="1"/>
  <c r="C10" i="62"/>
  <c r="AT29" i="62" s="1"/>
  <c r="B10" i="62"/>
  <c r="B29" i="62" s="1"/>
  <c r="AS9" i="62"/>
  <c r="AR9" i="62"/>
  <c r="AQ9" i="62"/>
  <c r="AP9" i="62"/>
  <c r="AO9" i="62"/>
  <c r="AN9" i="62"/>
  <c r="AM9" i="62"/>
  <c r="AL9" i="62"/>
  <c r="AK9" i="62"/>
  <c r="AJ9" i="62"/>
  <c r="AI9" i="62"/>
  <c r="AH9" i="62"/>
  <c r="AG9" i="62"/>
  <c r="AF9" i="62"/>
  <c r="AE9" i="62"/>
  <c r="AD9" i="62"/>
  <c r="AC9" i="62"/>
  <c r="AB9" i="62"/>
  <c r="AA9" i="62"/>
  <c r="Z9" i="62"/>
  <c r="Y9" i="62"/>
  <c r="X9" i="62"/>
  <c r="W9" i="62"/>
  <c r="V9" i="62"/>
  <c r="U9" i="62"/>
  <c r="S9" i="62"/>
  <c r="Q9" i="62"/>
  <c r="P9" i="62"/>
  <c r="N9" i="62"/>
  <c r="L9" i="62"/>
  <c r="K9" i="62"/>
  <c r="I9" i="62"/>
  <c r="F9" i="62"/>
  <c r="E9" i="62"/>
  <c r="E28" i="62" s="1"/>
  <c r="C9" i="62"/>
  <c r="AT28" i="62" s="1"/>
  <c r="L28" i="62" s="1"/>
  <c r="B9" i="62"/>
  <c r="B28" i="62" s="1"/>
  <c r="AS8" i="62"/>
  <c r="AR8" i="62"/>
  <c r="AQ8" i="62"/>
  <c r="AP8" i="62"/>
  <c r="AO8" i="62"/>
  <c r="AN8" i="62"/>
  <c r="AM8" i="62"/>
  <c r="AL8" i="62"/>
  <c r="AK8" i="62"/>
  <c r="AJ8" i="62"/>
  <c r="AI8" i="62"/>
  <c r="AH8" i="62"/>
  <c r="AG8" i="62"/>
  <c r="AF8" i="62"/>
  <c r="AE8" i="62"/>
  <c r="AD8" i="62"/>
  <c r="AC8" i="62"/>
  <c r="AB8" i="62"/>
  <c r="AA8" i="62"/>
  <c r="Z8" i="62"/>
  <c r="Y8" i="62"/>
  <c r="X8" i="62"/>
  <c r="W8" i="62"/>
  <c r="V8" i="62"/>
  <c r="U8" i="62"/>
  <c r="S8" i="62"/>
  <c r="Q8" i="62"/>
  <c r="P8" i="62"/>
  <c r="N8" i="62"/>
  <c r="L8" i="62"/>
  <c r="K8" i="62"/>
  <c r="I8" i="62"/>
  <c r="F8" i="62"/>
  <c r="E8" i="62"/>
  <c r="E27" i="62" s="1"/>
  <c r="C8" i="62"/>
  <c r="AT27" i="62" s="1"/>
  <c r="B8" i="62"/>
  <c r="B27" i="62" s="1"/>
  <c r="AS7" i="62"/>
  <c r="AR7" i="62"/>
  <c r="AQ7" i="62"/>
  <c r="AP7" i="62"/>
  <c r="AO7" i="62"/>
  <c r="AN7" i="62"/>
  <c r="AM7" i="62"/>
  <c r="AL7" i="62"/>
  <c r="AK7" i="62"/>
  <c r="AJ7" i="62"/>
  <c r="AI7" i="62"/>
  <c r="AH7" i="62"/>
  <c r="AG7" i="62"/>
  <c r="AF7" i="62"/>
  <c r="AE7" i="62"/>
  <c r="AD7" i="62"/>
  <c r="AC7" i="62"/>
  <c r="AB7" i="62"/>
  <c r="AA7" i="62"/>
  <c r="Z7" i="62"/>
  <c r="Y7" i="62"/>
  <c r="X7" i="62"/>
  <c r="W7" i="62"/>
  <c r="V7" i="62"/>
  <c r="U7" i="62"/>
  <c r="S7" i="62"/>
  <c r="Q7" i="62"/>
  <c r="P7" i="62"/>
  <c r="N7" i="62"/>
  <c r="L7" i="62"/>
  <c r="K7" i="62"/>
  <c r="I7" i="62"/>
  <c r="F7" i="62"/>
  <c r="E7" i="62"/>
  <c r="E26" i="62" s="1"/>
  <c r="C7" i="62"/>
  <c r="AT26" i="62" s="1"/>
  <c r="B7" i="62"/>
  <c r="B26" i="62" s="1"/>
  <c r="AS6" i="62"/>
  <c r="AR6" i="62"/>
  <c r="AQ6" i="62"/>
  <c r="AP6" i="62"/>
  <c r="AO6" i="62"/>
  <c r="AN6" i="62"/>
  <c r="AM6" i="62"/>
  <c r="AL6" i="62"/>
  <c r="AK6" i="62"/>
  <c r="AJ6" i="62"/>
  <c r="AI6" i="62"/>
  <c r="AH6" i="62"/>
  <c r="AG6" i="62"/>
  <c r="AF6" i="62"/>
  <c r="AE6" i="62"/>
  <c r="AD6" i="62"/>
  <c r="AC6" i="62"/>
  <c r="AB6" i="62"/>
  <c r="AA6" i="62"/>
  <c r="Z6" i="62"/>
  <c r="Y6" i="62"/>
  <c r="X6" i="62"/>
  <c r="W6" i="62"/>
  <c r="V6" i="62"/>
  <c r="U6" i="62"/>
  <c r="S6" i="62"/>
  <c r="Q6" i="62"/>
  <c r="P6" i="62"/>
  <c r="N6" i="62"/>
  <c r="L6" i="62"/>
  <c r="K6" i="62"/>
  <c r="I6" i="62"/>
  <c r="F6" i="62"/>
  <c r="E6" i="62"/>
  <c r="E25" i="62" s="1"/>
  <c r="C6" i="62"/>
  <c r="AT25" i="62" s="1"/>
  <c r="B6" i="62"/>
  <c r="B25" i="62" s="1"/>
  <c r="T12" i="12"/>
  <c r="T9" i="62" s="1"/>
  <c r="R12" i="12"/>
  <c r="O12" i="12"/>
  <c r="M12" i="12"/>
  <c r="H12" i="12"/>
  <c r="O90" i="12"/>
  <c r="O91" i="12"/>
  <c r="O92" i="12"/>
  <c r="O93" i="12"/>
  <c r="O94" i="12"/>
  <c r="O95" i="12"/>
  <c r="O96" i="12"/>
  <c r="O97" i="12"/>
  <c r="O98" i="12"/>
  <c r="O84" i="12"/>
  <c r="O85" i="12"/>
  <c r="O86" i="12"/>
  <c r="O87" i="12"/>
  <c r="O82" i="12"/>
  <c r="O80" i="12"/>
  <c r="H46" i="12"/>
  <c r="O46" i="12"/>
  <c r="R46" i="12"/>
  <c r="T46" i="12"/>
  <c r="T41" i="12"/>
  <c r="R41" i="12"/>
  <c r="O41" i="12"/>
  <c r="M41" i="12"/>
  <c r="H41" i="12"/>
  <c r="G41" i="12" s="1"/>
  <c r="H68" i="43"/>
  <c r="G68" i="43"/>
  <c r="F68" i="43"/>
  <c r="E68" i="43"/>
  <c r="D68" i="43"/>
  <c r="C68" i="43"/>
  <c r="I68" i="43" s="1"/>
  <c r="H67" i="43"/>
  <c r="G67" i="43"/>
  <c r="F67" i="43"/>
  <c r="E67" i="43"/>
  <c r="D67" i="43"/>
  <c r="C67" i="43"/>
  <c r="F73" i="43" s="1"/>
  <c r="H66" i="43"/>
  <c r="G66" i="43"/>
  <c r="F66" i="43"/>
  <c r="E66" i="43"/>
  <c r="D66" i="43"/>
  <c r="C66" i="43"/>
  <c r="I66" i="43" s="1"/>
  <c r="F74" i="43"/>
  <c r="F72" i="43"/>
  <c r="F73" i="44"/>
  <c r="H68" i="44"/>
  <c r="G68" i="44"/>
  <c r="F68" i="44"/>
  <c r="E68" i="44"/>
  <c r="D68" i="44"/>
  <c r="C68" i="44"/>
  <c r="I68" i="44" s="1"/>
  <c r="H67" i="44"/>
  <c r="G67" i="44"/>
  <c r="F67" i="44"/>
  <c r="E67" i="44"/>
  <c r="D67" i="44"/>
  <c r="C67" i="44"/>
  <c r="I67" i="44" s="1"/>
  <c r="H66" i="44"/>
  <c r="G66" i="44"/>
  <c r="F66" i="44"/>
  <c r="E66" i="44"/>
  <c r="D66" i="44"/>
  <c r="C66" i="44"/>
  <c r="I66" i="44" s="1"/>
  <c r="G13" i="64" l="1"/>
  <c r="F13" i="64"/>
  <c r="AG13" i="64"/>
  <c r="K13" i="64"/>
  <c r="L13" i="64"/>
  <c r="D13" i="64"/>
  <c r="H13" i="64"/>
  <c r="P13" i="64"/>
  <c r="S13" i="64"/>
  <c r="J13" i="64"/>
  <c r="R13" i="64"/>
  <c r="I13" i="64"/>
  <c r="Q13" i="64"/>
  <c r="U13" i="64"/>
  <c r="C13" i="64"/>
  <c r="O13" i="64"/>
  <c r="E13" i="64"/>
  <c r="N13" i="64"/>
  <c r="AA13" i="64"/>
  <c r="AC13" i="64"/>
  <c r="M13" i="64"/>
  <c r="T13" i="64"/>
  <c r="X13" i="64"/>
  <c r="Z13" i="64"/>
  <c r="Y13" i="64"/>
  <c r="AD13" i="64"/>
  <c r="AE13" i="64"/>
  <c r="V13" i="64"/>
  <c r="W13" i="64"/>
  <c r="AF13" i="64"/>
  <c r="R9" i="62"/>
  <c r="H9" i="62"/>
  <c r="H28" i="62" s="1"/>
  <c r="G12" i="12"/>
  <c r="O9" i="62"/>
  <c r="O28" i="62" s="1"/>
  <c r="J9" i="62"/>
  <c r="J28" i="62" s="1"/>
  <c r="I68" i="62"/>
  <c r="F73" i="62"/>
  <c r="F72" i="62"/>
  <c r="F74" i="62"/>
  <c r="AC32" i="62"/>
  <c r="K31" i="62"/>
  <c r="F25" i="62"/>
  <c r="AV33" i="63"/>
  <c r="AV28" i="63"/>
  <c r="AV36" i="63"/>
  <c r="AV31" i="63"/>
  <c r="AV39" i="63"/>
  <c r="AV26" i="63"/>
  <c r="AV32" i="63"/>
  <c r="AV40" i="63"/>
  <c r="AV27" i="63"/>
  <c r="AV35" i="63"/>
  <c r="AU32" i="63"/>
  <c r="AI38" i="63"/>
  <c r="AN39" i="63"/>
  <c r="AF38" i="62"/>
  <c r="P27" i="63"/>
  <c r="AF31" i="63"/>
  <c r="AE34" i="63"/>
  <c r="AJ32" i="63"/>
  <c r="AU38" i="63"/>
  <c r="AF28" i="63"/>
  <c r="AN36" i="63"/>
  <c r="T40" i="62"/>
  <c r="AU27" i="63"/>
  <c r="AM35" i="63"/>
  <c r="Z38" i="63"/>
  <c r="AS33" i="63"/>
  <c r="Z33" i="63"/>
  <c r="AM29" i="63"/>
  <c r="AD29" i="63"/>
  <c r="W29" i="63"/>
  <c r="L30" i="63"/>
  <c r="K30" i="63"/>
  <c r="F25" i="63"/>
  <c r="AD25" i="63"/>
  <c r="AL25" i="63"/>
  <c r="AU26" i="63"/>
  <c r="X27" i="63"/>
  <c r="AF27" i="63"/>
  <c r="AP29" i="63"/>
  <c r="T31" i="63"/>
  <c r="AJ31" i="63"/>
  <c r="N33" i="63"/>
  <c r="AU34" i="63"/>
  <c r="AB39" i="63"/>
  <c r="AR39" i="63"/>
  <c r="G31" i="63"/>
  <c r="AD38" i="63"/>
  <c r="L40" i="63"/>
  <c r="W31" i="63"/>
  <c r="AP38" i="63"/>
  <c r="AN33" i="63"/>
  <c r="J35" i="63"/>
  <c r="Z35" i="63"/>
  <c r="L36" i="63"/>
  <c r="I37" i="63"/>
  <c r="L35" i="63"/>
  <c r="AU30" i="63"/>
  <c r="W32" i="63"/>
  <c r="W35" i="63"/>
  <c r="H39" i="63"/>
  <c r="AU25" i="63"/>
  <c r="AI35" i="63"/>
  <c r="J38" i="63"/>
  <c r="X39" i="63"/>
  <c r="N38" i="63"/>
  <c r="L31" i="63"/>
  <c r="K31" i="63"/>
  <c r="AR26" i="63"/>
  <c r="AJ26" i="63"/>
  <c r="AB26" i="63"/>
  <c r="T26" i="63"/>
  <c r="AQ26" i="63"/>
  <c r="AI26" i="63"/>
  <c r="AA26" i="63"/>
  <c r="S26" i="63"/>
  <c r="AP26" i="63"/>
  <c r="AH26" i="63"/>
  <c r="Z26" i="63"/>
  <c r="R26" i="63"/>
  <c r="J26" i="63"/>
  <c r="AO26" i="63"/>
  <c r="AG26" i="63"/>
  <c r="Y26" i="63"/>
  <c r="Q26" i="63"/>
  <c r="I26" i="63"/>
  <c r="AN26" i="63"/>
  <c r="AF26" i="63"/>
  <c r="X26" i="63"/>
  <c r="P26" i="63"/>
  <c r="H26" i="63"/>
  <c r="AL26" i="63"/>
  <c r="AD26" i="63"/>
  <c r="N26" i="63"/>
  <c r="F26" i="63"/>
  <c r="AM26" i="63"/>
  <c r="G26" i="63"/>
  <c r="AK26" i="63"/>
  <c r="AE26" i="63"/>
  <c r="AC26" i="63"/>
  <c r="W26" i="63"/>
  <c r="U26" i="63"/>
  <c r="O26" i="63"/>
  <c r="AS26" i="63"/>
  <c r="M26" i="63"/>
  <c r="AR30" i="63"/>
  <c r="AJ30" i="63"/>
  <c r="AB30" i="63"/>
  <c r="T30" i="63"/>
  <c r="AO30" i="63"/>
  <c r="AG30" i="63"/>
  <c r="Y30" i="63"/>
  <c r="Q30" i="63"/>
  <c r="I30" i="63"/>
  <c r="AP30" i="63"/>
  <c r="AE30" i="63"/>
  <c r="U30" i="63"/>
  <c r="J30" i="63"/>
  <c r="AN30" i="63"/>
  <c r="AD30" i="63"/>
  <c r="S30" i="63"/>
  <c r="H30" i="63"/>
  <c r="AM30" i="63"/>
  <c r="AC30" i="63"/>
  <c r="R30" i="63"/>
  <c r="G30" i="63"/>
  <c r="X30" i="63"/>
  <c r="AL30" i="63"/>
  <c r="AA30" i="63"/>
  <c r="P30" i="63"/>
  <c r="F30" i="63"/>
  <c r="AK30" i="63"/>
  <c r="Z30" i="63"/>
  <c r="O30" i="63"/>
  <c r="AI30" i="63"/>
  <c r="N30" i="63"/>
  <c r="AS30" i="63"/>
  <c r="AH30" i="63"/>
  <c r="W30" i="63"/>
  <c r="M30" i="63"/>
  <c r="L33" i="63"/>
  <c r="K33" i="63"/>
  <c r="G28" i="63"/>
  <c r="AO28" i="63"/>
  <c r="AQ30" i="63"/>
  <c r="E43" i="63"/>
  <c r="D34" i="63" s="1"/>
  <c r="AQ25" i="63"/>
  <c r="AI25" i="63"/>
  <c r="AA25" i="63"/>
  <c r="S25" i="63"/>
  <c r="AP25" i="63"/>
  <c r="AH25" i="63"/>
  <c r="Z25" i="63"/>
  <c r="R25" i="63"/>
  <c r="J25" i="63"/>
  <c r="AO25" i="63"/>
  <c r="AG25" i="63"/>
  <c r="Y25" i="63"/>
  <c r="Q25" i="63"/>
  <c r="I25" i="63"/>
  <c r="AN25" i="63"/>
  <c r="AF25" i="63"/>
  <c r="X25" i="63"/>
  <c r="P25" i="63"/>
  <c r="H25" i="63"/>
  <c r="AM25" i="63"/>
  <c r="AE25" i="63"/>
  <c r="W25" i="63"/>
  <c r="O25" i="63"/>
  <c r="G25" i="63"/>
  <c r="AS25" i="63"/>
  <c r="AK25" i="63"/>
  <c r="AC25" i="63"/>
  <c r="U25" i="63"/>
  <c r="M25" i="63"/>
  <c r="L28" i="63"/>
  <c r="K28" i="63"/>
  <c r="AU31" i="63"/>
  <c r="AU39" i="63"/>
  <c r="AJ25" i="63"/>
  <c r="AD27" i="63"/>
  <c r="I28" i="63"/>
  <c r="AQ28" i="63"/>
  <c r="I32" i="63"/>
  <c r="Y36" i="63"/>
  <c r="L39" i="63"/>
  <c r="K39" i="63"/>
  <c r="O28" i="63"/>
  <c r="L26" i="63"/>
  <c r="K26" i="63"/>
  <c r="AU29" i="63"/>
  <c r="L34" i="63"/>
  <c r="K34" i="63"/>
  <c r="AR25" i="63"/>
  <c r="F27" i="63"/>
  <c r="AL27" i="63"/>
  <c r="Q28" i="63"/>
  <c r="F34" i="63"/>
  <c r="N25" i="63"/>
  <c r="G73" i="63"/>
  <c r="I57" i="63"/>
  <c r="G72" i="63"/>
  <c r="I56" i="63"/>
  <c r="K25" i="63"/>
  <c r="I55" i="63"/>
  <c r="H27" i="63"/>
  <c r="AN27" i="63"/>
  <c r="W28" i="63"/>
  <c r="AN29" i="63"/>
  <c r="AF29" i="63"/>
  <c r="X29" i="63"/>
  <c r="P29" i="63"/>
  <c r="H29" i="63"/>
  <c r="AL29" i="63"/>
  <c r="AC29" i="63"/>
  <c r="T29" i="63"/>
  <c r="AK29" i="63"/>
  <c r="AB29" i="63"/>
  <c r="S29" i="63"/>
  <c r="J29" i="63"/>
  <c r="AS29" i="63"/>
  <c r="AJ29" i="63"/>
  <c r="AA29" i="63"/>
  <c r="R29" i="63"/>
  <c r="I29" i="63"/>
  <c r="AR29" i="63"/>
  <c r="AI29" i="63"/>
  <c r="Z29" i="63"/>
  <c r="Q29" i="63"/>
  <c r="G29" i="63"/>
  <c r="AG29" i="63"/>
  <c r="AQ29" i="63"/>
  <c r="AH29" i="63"/>
  <c r="Y29" i="63"/>
  <c r="O29" i="63"/>
  <c r="F29" i="63"/>
  <c r="AO29" i="63"/>
  <c r="AE29" i="63"/>
  <c r="M29" i="63"/>
  <c r="R34" i="63"/>
  <c r="AP36" i="63"/>
  <c r="AH36" i="63"/>
  <c r="Z36" i="63"/>
  <c r="R36" i="63"/>
  <c r="J36" i="63"/>
  <c r="AM36" i="63"/>
  <c r="AE36" i="63"/>
  <c r="W36" i="63"/>
  <c r="O36" i="63"/>
  <c r="G36" i="63"/>
  <c r="AL36" i="63"/>
  <c r="AD36" i="63"/>
  <c r="N36" i="63"/>
  <c r="F36" i="63"/>
  <c r="AQ36" i="63"/>
  <c r="AI36" i="63"/>
  <c r="AK36" i="63"/>
  <c r="X36" i="63"/>
  <c r="AJ36" i="63"/>
  <c r="U36" i="63"/>
  <c r="I36" i="63"/>
  <c r="AG36" i="63"/>
  <c r="T36" i="63"/>
  <c r="H36" i="63"/>
  <c r="AR36" i="63"/>
  <c r="AF36" i="63"/>
  <c r="S36" i="63"/>
  <c r="AB36" i="63"/>
  <c r="AS36" i="63"/>
  <c r="AC36" i="63"/>
  <c r="Q36" i="63"/>
  <c r="P36" i="63"/>
  <c r="AO36" i="63"/>
  <c r="AA36" i="63"/>
  <c r="M36" i="63"/>
  <c r="K37" i="63"/>
  <c r="L37" i="63"/>
  <c r="AQ37" i="63"/>
  <c r="AI37" i="63"/>
  <c r="AA37" i="63"/>
  <c r="S37" i="63"/>
  <c r="AN37" i="63"/>
  <c r="AF37" i="63"/>
  <c r="X37" i="63"/>
  <c r="P37" i="63"/>
  <c r="H37" i="63"/>
  <c r="AM37" i="63"/>
  <c r="AE37" i="63"/>
  <c r="W37" i="63"/>
  <c r="O37" i="63"/>
  <c r="G37" i="63"/>
  <c r="AR37" i="63"/>
  <c r="AJ37" i="63"/>
  <c r="AB37" i="63"/>
  <c r="T37" i="63"/>
  <c r="AL37" i="63"/>
  <c r="F37" i="63"/>
  <c r="AK37" i="63"/>
  <c r="U37" i="63"/>
  <c r="AH37" i="63"/>
  <c r="R37" i="63"/>
  <c r="AS37" i="63"/>
  <c r="AG37" i="63"/>
  <c r="Q37" i="63"/>
  <c r="M37" i="63"/>
  <c r="AD37" i="63"/>
  <c r="N37" i="63"/>
  <c r="AC37" i="63"/>
  <c r="AP37" i="63"/>
  <c r="Z37" i="63"/>
  <c r="J37" i="63"/>
  <c r="AO37" i="63"/>
  <c r="Y37" i="63"/>
  <c r="T25" i="63"/>
  <c r="N27" i="63"/>
  <c r="L27" i="63"/>
  <c r="K27" i="63"/>
  <c r="Y28" i="63"/>
  <c r="L29" i="63"/>
  <c r="AN34" i="63"/>
  <c r="AF34" i="63"/>
  <c r="X34" i="63"/>
  <c r="P34" i="63"/>
  <c r="H34" i="63"/>
  <c r="AS34" i="63"/>
  <c r="AK34" i="63"/>
  <c r="AC34" i="63"/>
  <c r="U34" i="63"/>
  <c r="M34" i="63"/>
  <c r="AR34" i="63"/>
  <c r="AJ34" i="63"/>
  <c r="AB34" i="63"/>
  <c r="T34" i="63"/>
  <c r="AP34" i="63"/>
  <c r="AD34" i="63"/>
  <c r="Q34" i="63"/>
  <c r="AO34" i="63"/>
  <c r="AA34" i="63"/>
  <c r="O34" i="63"/>
  <c r="AM34" i="63"/>
  <c r="Z34" i="63"/>
  <c r="N34" i="63"/>
  <c r="AL34" i="63"/>
  <c r="Y34" i="63"/>
  <c r="AI34" i="63"/>
  <c r="W34" i="63"/>
  <c r="J34" i="63"/>
  <c r="AH34" i="63"/>
  <c r="I34" i="63"/>
  <c r="AG34" i="63"/>
  <c r="S34" i="63"/>
  <c r="G34" i="63"/>
  <c r="AL32" i="63"/>
  <c r="AD32" i="63"/>
  <c r="N32" i="63"/>
  <c r="F32" i="63"/>
  <c r="AQ32" i="63"/>
  <c r="AI32" i="63"/>
  <c r="AA32" i="63"/>
  <c r="S32" i="63"/>
  <c r="AP32" i="63"/>
  <c r="AH32" i="63"/>
  <c r="Z32" i="63"/>
  <c r="R32" i="63"/>
  <c r="J32" i="63"/>
  <c r="AG32" i="63"/>
  <c r="U32" i="63"/>
  <c r="H32" i="63"/>
  <c r="AS32" i="63"/>
  <c r="AF32" i="63"/>
  <c r="T32" i="63"/>
  <c r="G32" i="63"/>
  <c r="AR32" i="63"/>
  <c r="AE32" i="63"/>
  <c r="Q32" i="63"/>
  <c r="AM32" i="63"/>
  <c r="M32" i="63"/>
  <c r="AO32" i="63"/>
  <c r="AC32" i="63"/>
  <c r="P32" i="63"/>
  <c r="AN32" i="63"/>
  <c r="AB32" i="63"/>
  <c r="O32" i="63"/>
  <c r="Y32" i="63"/>
  <c r="AK32" i="63"/>
  <c r="X32" i="63"/>
  <c r="AL40" i="63"/>
  <c r="AD40" i="63"/>
  <c r="N40" i="63"/>
  <c r="F40" i="63"/>
  <c r="AQ40" i="63"/>
  <c r="AI40" i="63"/>
  <c r="AA40" i="63"/>
  <c r="S40" i="63"/>
  <c r="AP40" i="63"/>
  <c r="AH40" i="63"/>
  <c r="Z40" i="63"/>
  <c r="R40" i="63"/>
  <c r="J40" i="63"/>
  <c r="AM40" i="63"/>
  <c r="AE40" i="63"/>
  <c r="W40" i="63"/>
  <c r="O40" i="63"/>
  <c r="G40" i="63"/>
  <c r="AK40" i="63"/>
  <c r="U40" i="63"/>
  <c r="AJ40" i="63"/>
  <c r="T40" i="63"/>
  <c r="AG40" i="63"/>
  <c r="Q40" i="63"/>
  <c r="AF40" i="63"/>
  <c r="P40" i="63"/>
  <c r="AR40" i="63"/>
  <c r="AS40" i="63"/>
  <c r="AC40" i="63"/>
  <c r="M40" i="63"/>
  <c r="AB40" i="63"/>
  <c r="AO40" i="63"/>
  <c r="Y40" i="63"/>
  <c r="I40" i="63"/>
  <c r="AN40" i="63"/>
  <c r="X40" i="63"/>
  <c r="H40" i="63"/>
  <c r="N29" i="63"/>
  <c r="AQ34" i="63"/>
  <c r="AM28" i="63"/>
  <c r="AE28" i="63"/>
  <c r="AN28" i="63"/>
  <c r="AD28" i="63"/>
  <c r="N28" i="63"/>
  <c r="F28" i="63"/>
  <c r="AL28" i="63"/>
  <c r="AC28" i="63"/>
  <c r="U28" i="63"/>
  <c r="M28" i="63"/>
  <c r="AK28" i="63"/>
  <c r="AB28" i="63"/>
  <c r="T28" i="63"/>
  <c r="AS28" i="63"/>
  <c r="AJ28" i="63"/>
  <c r="AA28" i="63"/>
  <c r="S28" i="63"/>
  <c r="AR28" i="63"/>
  <c r="AI28" i="63"/>
  <c r="Z28" i="63"/>
  <c r="R28" i="63"/>
  <c r="J28" i="63"/>
  <c r="AP28" i="63"/>
  <c r="AG28" i="63"/>
  <c r="X28" i="63"/>
  <c r="P28" i="63"/>
  <c r="H28" i="63"/>
  <c r="B48" i="63"/>
  <c r="AS27" i="63"/>
  <c r="AK27" i="63"/>
  <c r="AC27" i="63"/>
  <c r="U27" i="63"/>
  <c r="M27" i="63"/>
  <c r="AR27" i="63"/>
  <c r="AJ27" i="63"/>
  <c r="AB27" i="63"/>
  <c r="T27" i="63"/>
  <c r="AQ27" i="63"/>
  <c r="AI27" i="63"/>
  <c r="AA27" i="63"/>
  <c r="S27" i="63"/>
  <c r="AP27" i="63"/>
  <c r="AH27" i="63"/>
  <c r="Z27" i="63"/>
  <c r="R27" i="63"/>
  <c r="J27" i="63"/>
  <c r="AO27" i="63"/>
  <c r="AG27" i="63"/>
  <c r="Y27" i="63"/>
  <c r="Q27" i="63"/>
  <c r="I27" i="63"/>
  <c r="AM27" i="63"/>
  <c r="AE27" i="63"/>
  <c r="W27" i="63"/>
  <c r="O27" i="63"/>
  <c r="G27" i="63"/>
  <c r="AP35" i="63"/>
  <c r="AB25" i="63"/>
  <c r="AH28" i="63"/>
  <c r="U29" i="63"/>
  <c r="AF30" i="63"/>
  <c r="AS31" i="63"/>
  <c r="AK31" i="63"/>
  <c r="AC31" i="63"/>
  <c r="U31" i="63"/>
  <c r="M31" i="63"/>
  <c r="AP31" i="63"/>
  <c r="AH31" i="63"/>
  <c r="Z31" i="63"/>
  <c r="R31" i="63"/>
  <c r="J31" i="63"/>
  <c r="AO31" i="63"/>
  <c r="AG31" i="63"/>
  <c r="Y31" i="63"/>
  <c r="Q31" i="63"/>
  <c r="I31" i="63"/>
  <c r="AS39" i="63"/>
  <c r="AK39" i="63"/>
  <c r="AC39" i="63"/>
  <c r="U39" i="63"/>
  <c r="M39" i="63"/>
  <c r="AP39" i="63"/>
  <c r="AH39" i="63"/>
  <c r="Z39" i="63"/>
  <c r="R39" i="63"/>
  <c r="J39" i="63"/>
  <c r="AO39" i="63"/>
  <c r="AG39" i="63"/>
  <c r="Y39" i="63"/>
  <c r="Q39" i="63"/>
  <c r="I39" i="63"/>
  <c r="AL39" i="63"/>
  <c r="AD39" i="63"/>
  <c r="N39" i="63"/>
  <c r="F39" i="63"/>
  <c r="H31" i="63"/>
  <c r="AI31" i="63"/>
  <c r="L32" i="63"/>
  <c r="P33" i="63"/>
  <c r="AC33" i="63"/>
  <c r="AO33" i="63"/>
  <c r="X35" i="63"/>
  <c r="AJ35" i="63"/>
  <c r="K38" i="63"/>
  <c r="AA38" i="63"/>
  <c r="AQ38" i="63"/>
  <c r="AA39" i="63"/>
  <c r="AQ39" i="63"/>
  <c r="Q33" i="63"/>
  <c r="X31" i="63"/>
  <c r="AL31" i="63"/>
  <c r="F33" i="63"/>
  <c r="R33" i="63"/>
  <c r="AF33" i="63"/>
  <c r="O35" i="63"/>
  <c r="AA35" i="63"/>
  <c r="AN35" i="63"/>
  <c r="O38" i="63"/>
  <c r="AE38" i="63"/>
  <c r="O39" i="63"/>
  <c r="AE39" i="63"/>
  <c r="AM33" i="63"/>
  <c r="AE33" i="63"/>
  <c r="W33" i="63"/>
  <c r="O33" i="63"/>
  <c r="G33" i="63"/>
  <c r="AR33" i="63"/>
  <c r="AJ33" i="63"/>
  <c r="AB33" i="63"/>
  <c r="T33" i="63"/>
  <c r="AQ33" i="63"/>
  <c r="AI33" i="63"/>
  <c r="AA33" i="63"/>
  <c r="S33" i="63"/>
  <c r="AP33" i="63"/>
  <c r="N31" i="63"/>
  <c r="AA31" i="63"/>
  <c r="AM31" i="63"/>
  <c r="H33" i="63"/>
  <c r="U33" i="63"/>
  <c r="AG33" i="63"/>
  <c r="P35" i="63"/>
  <c r="AB35" i="63"/>
  <c r="R38" i="63"/>
  <c r="AH38" i="63"/>
  <c r="P39" i="63"/>
  <c r="AF39" i="63"/>
  <c r="AD33" i="63"/>
  <c r="AO35" i="63"/>
  <c r="AG35" i="63"/>
  <c r="Y35" i="63"/>
  <c r="Q35" i="63"/>
  <c r="I35" i="63"/>
  <c r="AL35" i="63"/>
  <c r="AD35" i="63"/>
  <c r="N35" i="63"/>
  <c r="F35" i="63"/>
  <c r="AS35" i="63"/>
  <c r="AK35" i="63"/>
  <c r="AC35" i="63"/>
  <c r="U35" i="63"/>
  <c r="M35" i="63"/>
  <c r="O31" i="63"/>
  <c r="AB31" i="63"/>
  <c r="AN31" i="63"/>
  <c r="I33" i="63"/>
  <c r="AH33" i="63"/>
  <c r="R35" i="63"/>
  <c r="AE35" i="63"/>
  <c r="AQ35" i="63"/>
  <c r="S38" i="63"/>
  <c r="S39" i="63"/>
  <c r="AI39" i="63"/>
  <c r="AV34" i="63"/>
  <c r="AU33" i="63"/>
  <c r="AV37" i="63"/>
  <c r="AU36" i="63"/>
  <c r="AV29" i="63"/>
  <c r="AU28" i="63"/>
  <c r="AV38" i="63"/>
  <c r="AU37" i="63"/>
  <c r="AV30" i="63"/>
  <c r="AU40" i="63"/>
  <c r="AR38" i="63"/>
  <c r="AJ38" i="63"/>
  <c r="AB38" i="63"/>
  <c r="T38" i="63"/>
  <c r="AO38" i="63"/>
  <c r="AG38" i="63"/>
  <c r="Y38" i="63"/>
  <c r="Q38" i="63"/>
  <c r="I38" i="63"/>
  <c r="AN38" i="63"/>
  <c r="AF38" i="63"/>
  <c r="X38" i="63"/>
  <c r="P38" i="63"/>
  <c r="H38" i="63"/>
  <c r="AS38" i="63"/>
  <c r="AK38" i="63"/>
  <c r="AC38" i="63"/>
  <c r="U38" i="63"/>
  <c r="M38" i="63"/>
  <c r="P31" i="63"/>
  <c r="AD31" i="63"/>
  <c r="AQ31" i="63"/>
  <c r="J33" i="63"/>
  <c r="X33" i="63"/>
  <c r="AK33" i="63"/>
  <c r="G35" i="63"/>
  <c r="S35" i="63"/>
  <c r="AF35" i="63"/>
  <c r="AR35" i="63"/>
  <c r="F38" i="63"/>
  <c r="AL38" i="63"/>
  <c r="T39" i="63"/>
  <c r="AJ39" i="63"/>
  <c r="F31" i="63"/>
  <c r="S31" i="63"/>
  <c r="AE31" i="63"/>
  <c r="AR31" i="63"/>
  <c r="M33" i="63"/>
  <c r="Y33" i="63"/>
  <c r="AL33" i="63"/>
  <c r="H35" i="63"/>
  <c r="T35" i="63"/>
  <c r="AH35" i="63"/>
  <c r="AU35" i="63"/>
  <c r="G38" i="63"/>
  <c r="W38" i="63"/>
  <c r="AM38" i="63"/>
  <c r="G39" i="63"/>
  <c r="W39" i="63"/>
  <c r="AM39" i="63"/>
  <c r="I68" i="63"/>
  <c r="AC28" i="62"/>
  <c r="AH30" i="62"/>
  <c r="AG37" i="62"/>
  <c r="U25" i="62"/>
  <c r="AP27" i="62"/>
  <c r="AD36" i="62"/>
  <c r="AH37" i="62"/>
  <c r="T37" i="62"/>
  <c r="AM35" i="62"/>
  <c r="N35" i="62"/>
  <c r="Y37" i="62"/>
  <c r="AQ40" i="62"/>
  <c r="AV38" i="62"/>
  <c r="AM36" i="62"/>
  <c r="H36" i="62"/>
  <c r="AM37" i="62"/>
  <c r="AG39" i="62"/>
  <c r="AQ32" i="62"/>
  <c r="P36" i="62"/>
  <c r="P38" i="62"/>
  <c r="AR29" i="62"/>
  <c r="AI28" i="62"/>
  <c r="H37" i="62"/>
  <c r="AG36" i="62"/>
  <c r="AO36" i="62"/>
  <c r="S38" i="62"/>
  <c r="AI38" i="62"/>
  <c r="L37" i="62"/>
  <c r="L31" i="62"/>
  <c r="AU29" i="62"/>
  <c r="AV26" i="62"/>
  <c r="AV37" i="62"/>
  <c r="AU40" i="62"/>
  <c r="AV27" i="62"/>
  <c r="AU25" i="62"/>
  <c r="AV25" i="62"/>
  <c r="AV34" i="62"/>
  <c r="AU37" i="62"/>
  <c r="AV32" i="62"/>
  <c r="AU35" i="62"/>
  <c r="AV40" i="62"/>
  <c r="AU30" i="62"/>
  <c r="AV35" i="62"/>
  <c r="AU38" i="62"/>
  <c r="AU32" i="62"/>
  <c r="AU33" i="62"/>
  <c r="AU28" i="62"/>
  <c r="AV33" i="62"/>
  <c r="AV29" i="62"/>
  <c r="AV28" i="62"/>
  <c r="AV36" i="62"/>
  <c r="AV31" i="62"/>
  <c r="AV39" i="62"/>
  <c r="P25" i="62"/>
  <c r="N29" i="62"/>
  <c r="W27" i="62"/>
  <c r="AU36" i="62"/>
  <c r="AP29" i="62"/>
  <c r="AU27" i="62"/>
  <c r="I29" i="62"/>
  <c r="U30" i="62"/>
  <c r="AV30" i="62"/>
  <c r="X29" i="62"/>
  <c r="B48" i="62"/>
  <c r="B49" i="62" s="1"/>
  <c r="P28" i="62"/>
  <c r="AE29" i="62"/>
  <c r="AH27" i="62"/>
  <c r="AH29" i="62"/>
  <c r="L26" i="62"/>
  <c r="K26" i="62"/>
  <c r="AN31" i="62"/>
  <c r="AF31" i="62"/>
  <c r="X31" i="62"/>
  <c r="P31" i="62"/>
  <c r="AM31" i="62"/>
  <c r="AE31" i="62"/>
  <c r="W31" i="62"/>
  <c r="AS31" i="62"/>
  <c r="AK31" i="62"/>
  <c r="AC31" i="62"/>
  <c r="U31" i="62"/>
  <c r="AJ31" i="62"/>
  <c r="Y31" i="62"/>
  <c r="AI31" i="62"/>
  <c r="AH31" i="62"/>
  <c r="I31" i="62"/>
  <c r="AD31" i="62"/>
  <c r="AR31" i="62"/>
  <c r="AG31" i="62"/>
  <c r="S31" i="62"/>
  <c r="F31" i="62"/>
  <c r="AQ31" i="62"/>
  <c r="AP31" i="62"/>
  <c r="AB31" i="62"/>
  <c r="Q31" i="62"/>
  <c r="AO31" i="62"/>
  <c r="AA31" i="62"/>
  <c r="N31" i="62"/>
  <c r="AS26" i="62"/>
  <c r="AK26" i="62"/>
  <c r="AC26" i="62"/>
  <c r="U26" i="62"/>
  <c r="AR26" i="62"/>
  <c r="AJ26" i="62"/>
  <c r="AB26" i="62"/>
  <c r="AQ26" i="62"/>
  <c r="AI26" i="62"/>
  <c r="AA26" i="62"/>
  <c r="S26" i="62"/>
  <c r="AP26" i="62"/>
  <c r="AH26" i="62"/>
  <c r="Z26" i="62"/>
  <c r="AN26" i="62"/>
  <c r="AF26" i="62"/>
  <c r="X26" i="62"/>
  <c r="P26" i="62"/>
  <c r="AM26" i="62"/>
  <c r="AE26" i="62"/>
  <c r="W26" i="62"/>
  <c r="K29" i="62"/>
  <c r="L29" i="62"/>
  <c r="AQ34" i="62"/>
  <c r="AI34" i="62"/>
  <c r="AA34" i="62"/>
  <c r="S34" i="62"/>
  <c r="AP34" i="62"/>
  <c r="AH34" i="62"/>
  <c r="Z34" i="62"/>
  <c r="R34" i="62"/>
  <c r="J34" i="62"/>
  <c r="AN34" i="62"/>
  <c r="AF34" i="62"/>
  <c r="X34" i="62"/>
  <c r="P34" i="62"/>
  <c r="H34" i="62"/>
  <c r="AG34" i="62"/>
  <c r="U34" i="62"/>
  <c r="G34" i="62"/>
  <c r="AS34" i="62"/>
  <c r="AE34" i="62"/>
  <c r="T34" i="62"/>
  <c r="F34" i="62"/>
  <c r="AR34" i="62"/>
  <c r="AD34" i="62"/>
  <c r="Q34" i="62"/>
  <c r="AB34" i="62"/>
  <c r="AO34" i="62"/>
  <c r="AC34" i="62"/>
  <c r="O34" i="62"/>
  <c r="AM34" i="62"/>
  <c r="N34" i="62"/>
  <c r="AL34" i="62"/>
  <c r="Y34" i="62"/>
  <c r="AK34" i="62"/>
  <c r="W34" i="62"/>
  <c r="AD26" i="62"/>
  <c r="AG26" i="62"/>
  <c r="AP33" i="62"/>
  <c r="AH33" i="62"/>
  <c r="Z33" i="62"/>
  <c r="AO33" i="62"/>
  <c r="AG33" i="62"/>
  <c r="Y33" i="62"/>
  <c r="Q33" i="62"/>
  <c r="I33" i="62"/>
  <c r="AM33" i="62"/>
  <c r="AE33" i="62"/>
  <c r="W33" i="62"/>
  <c r="AR33" i="62"/>
  <c r="AD33" i="62"/>
  <c r="S33" i="62"/>
  <c r="AQ33" i="62"/>
  <c r="AC33" i="62"/>
  <c r="P33" i="62"/>
  <c r="AN33" i="62"/>
  <c r="AB33" i="62"/>
  <c r="N33" i="62"/>
  <c r="AK33" i="62"/>
  <c r="AL33" i="62"/>
  <c r="AA33" i="62"/>
  <c r="X33" i="62"/>
  <c r="AJ33" i="62"/>
  <c r="AI33" i="62"/>
  <c r="U33" i="62"/>
  <c r="L36" i="62"/>
  <c r="K36" i="62"/>
  <c r="AR25" i="62"/>
  <c r="AJ25" i="62"/>
  <c r="AB25" i="62"/>
  <c r="AQ25" i="62"/>
  <c r="AI25" i="62"/>
  <c r="AA25" i="62"/>
  <c r="S25" i="62"/>
  <c r="AP25" i="62"/>
  <c r="AH25" i="62"/>
  <c r="Z25" i="62"/>
  <c r="E43" i="62"/>
  <c r="D32" i="62" s="1"/>
  <c r="AO25" i="62"/>
  <c r="AG25" i="62"/>
  <c r="Y25" i="62"/>
  <c r="Q25" i="62"/>
  <c r="I25" i="62"/>
  <c r="AM25" i="62"/>
  <c r="AE25" i="62"/>
  <c r="W25" i="62"/>
  <c r="AL25" i="62"/>
  <c r="AD25" i="62"/>
  <c r="N25" i="62"/>
  <c r="AK25" i="62"/>
  <c r="Q26" i="62"/>
  <c r="AF33" i="62"/>
  <c r="AU26" i="62"/>
  <c r="AR28" i="62"/>
  <c r="AJ28" i="62"/>
  <c r="AB28" i="62"/>
  <c r="AP28" i="62"/>
  <c r="AH28" i="62"/>
  <c r="Z28" i="62"/>
  <c r="AS28" i="62"/>
  <c r="AG28" i="62"/>
  <c r="W28" i="62"/>
  <c r="AQ28" i="62"/>
  <c r="AF28" i="62"/>
  <c r="N28" i="62"/>
  <c r="F28" i="62"/>
  <c r="AO28" i="62"/>
  <c r="AE28" i="62"/>
  <c r="U28" i="62"/>
  <c r="AN28" i="62"/>
  <c r="AD28" i="62"/>
  <c r="T28" i="62"/>
  <c r="AM28" i="62"/>
  <c r="AL28" i="62"/>
  <c r="AA28" i="62"/>
  <c r="R28" i="62"/>
  <c r="AK28" i="62"/>
  <c r="Y28" i="62"/>
  <c r="Q28" i="62"/>
  <c r="I28" i="62"/>
  <c r="AN25" i="62"/>
  <c r="AM27" i="62"/>
  <c r="S28" i="62"/>
  <c r="AS33" i="62"/>
  <c r="Z35" i="62"/>
  <c r="K34" i="62"/>
  <c r="L34" i="62"/>
  <c r="AN39" i="62"/>
  <c r="AF39" i="62"/>
  <c r="X39" i="62"/>
  <c r="P39" i="62"/>
  <c r="H39" i="62"/>
  <c r="AM39" i="62"/>
  <c r="AE39" i="62"/>
  <c r="W39" i="62"/>
  <c r="O39" i="62"/>
  <c r="G39" i="62"/>
  <c r="AL39" i="62"/>
  <c r="AD39" i="62"/>
  <c r="N39" i="62"/>
  <c r="F39" i="62"/>
  <c r="AS39" i="62"/>
  <c r="AK39" i="62"/>
  <c r="AC39" i="62"/>
  <c r="U39" i="62"/>
  <c r="M39" i="62"/>
  <c r="AR39" i="62"/>
  <c r="AB39" i="62"/>
  <c r="AQ39" i="62"/>
  <c r="AA39" i="62"/>
  <c r="AP39" i="62"/>
  <c r="Z39" i="62"/>
  <c r="J39" i="62"/>
  <c r="AJ39" i="62"/>
  <c r="T39" i="62"/>
  <c r="AO39" i="62"/>
  <c r="Y39" i="62"/>
  <c r="I39" i="62"/>
  <c r="AI39" i="62"/>
  <c r="S39" i="62"/>
  <c r="AH39" i="62"/>
  <c r="R39" i="62"/>
  <c r="AS25" i="62"/>
  <c r="Y26" i="62"/>
  <c r="X28" i="62"/>
  <c r="I34" i="62"/>
  <c r="L27" i="62"/>
  <c r="K27" i="62"/>
  <c r="AO32" i="62"/>
  <c r="AG32" i="62"/>
  <c r="Y32" i="62"/>
  <c r="Q32" i="62"/>
  <c r="I32" i="62"/>
  <c r="AN32" i="62"/>
  <c r="AF32" i="62"/>
  <c r="X32" i="62"/>
  <c r="P32" i="62"/>
  <c r="AL32" i="62"/>
  <c r="AD32" i="62"/>
  <c r="N32" i="62"/>
  <c r="F32" i="62"/>
  <c r="AP32" i="62"/>
  <c r="AB32" i="62"/>
  <c r="AM32" i="62"/>
  <c r="AA32" i="62"/>
  <c r="AK32" i="62"/>
  <c r="Z32" i="62"/>
  <c r="AJ32" i="62"/>
  <c r="W32" i="62"/>
  <c r="AI32" i="62"/>
  <c r="U32" i="62"/>
  <c r="AS32" i="62"/>
  <c r="AH32" i="62"/>
  <c r="AR32" i="62"/>
  <c r="AE32" i="62"/>
  <c r="S32" i="62"/>
  <c r="AP40" i="62"/>
  <c r="AH40" i="62"/>
  <c r="Z40" i="62"/>
  <c r="R40" i="62"/>
  <c r="J40" i="62"/>
  <c r="AO40" i="62"/>
  <c r="AG40" i="62"/>
  <c r="Y40" i="62"/>
  <c r="Q40" i="62"/>
  <c r="I40" i="62"/>
  <c r="AN40" i="62"/>
  <c r="AF40" i="62"/>
  <c r="X40" i="62"/>
  <c r="P40" i="62"/>
  <c r="H40" i="62"/>
  <c r="AM40" i="62"/>
  <c r="AE40" i="62"/>
  <c r="W40" i="62"/>
  <c r="O40" i="62"/>
  <c r="G40" i="62"/>
  <c r="AL40" i="62"/>
  <c r="AD40" i="62"/>
  <c r="N40" i="62"/>
  <c r="F40" i="62"/>
  <c r="AK40" i="62"/>
  <c r="S40" i="62"/>
  <c r="AJ40" i="62"/>
  <c r="M40" i="62"/>
  <c r="AI40" i="62"/>
  <c r="AB40" i="62"/>
  <c r="AC40" i="62"/>
  <c r="AS40" i="62"/>
  <c r="AA40" i="62"/>
  <c r="AR40" i="62"/>
  <c r="U40" i="62"/>
  <c r="AJ34" i="62"/>
  <c r="AL27" i="62"/>
  <c r="AD27" i="62"/>
  <c r="N27" i="62"/>
  <c r="F27" i="62"/>
  <c r="AS27" i="62"/>
  <c r="AK27" i="62"/>
  <c r="AC27" i="62"/>
  <c r="U27" i="62"/>
  <c r="AR27" i="62"/>
  <c r="AJ27" i="62"/>
  <c r="AB27" i="62"/>
  <c r="AQ27" i="62"/>
  <c r="AI27" i="62"/>
  <c r="AA27" i="62"/>
  <c r="S27" i="62"/>
  <c r="AO27" i="62"/>
  <c r="AG27" i="62"/>
  <c r="Y27" i="62"/>
  <c r="Q27" i="62"/>
  <c r="I27" i="62"/>
  <c r="AN27" i="62"/>
  <c r="AF27" i="62"/>
  <c r="X27" i="62"/>
  <c r="P27" i="62"/>
  <c r="K30" i="62"/>
  <c r="AR35" i="62"/>
  <c r="AJ35" i="62"/>
  <c r="AB35" i="62"/>
  <c r="AQ35" i="62"/>
  <c r="AI35" i="62"/>
  <c r="AA35" i="62"/>
  <c r="S35" i="62"/>
  <c r="AO35" i="62"/>
  <c r="AG35" i="62"/>
  <c r="Y35" i="62"/>
  <c r="Q35" i="62"/>
  <c r="I35" i="62"/>
  <c r="AL35" i="62"/>
  <c r="X35" i="62"/>
  <c r="AK35" i="62"/>
  <c r="W35" i="62"/>
  <c r="J35" i="62"/>
  <c r="AH35" i="62"/>
  <c r="H35" i="62"/>
  <c r="AE35" i="62"/>
  <c r="F35" i="62"/>
  <c r="AF35" i="62"/>
  <c r="U35" i="62"/>
  <c r="G35" i="62"/>
  <c r="AS35" i="62"/>
  <c r="R35" i="62"/>
  <c r="AP35" i="62"/>
  <c r="AD35" i="62"/>
  <c r="P35" i="62"/>
  <c r="AN35" i="62"/>
  <c r="AC35" i="62"/>
  <c r="O35" i="62"/>
  <c r="AC25" i="62"/>
  <c r="I26" i="62"/>
  <c r="AO26" i="62"/>
  <c r="Z27" i="62"/>
  <c r="AL31" i="62"/>
  <c r="F33" i="62"/>
  <c r="AU34" i="62"/>
  <c r="L35" i="62"/>
  <c r="K35" i="62"/>
  <c r="X25" i="62"/>
  <c r="F26" i="62"/>
  <c r="AL26" i="62"/>
  <c r="Z31" i="62"/>
  <c r="L25" i="62"/>
  <c r="K25" i="62"/>
  <c r="I57" i="62"/>
  <c r="I56" i="62"/>
  <c r="I55" i="62"/>
  <c r="AM30" i="62"/>
  <c r="AE30" i="62"/>
  <c r="W30" i="62"/>
  <c r="AL30" i="62"/>
  <c r="AD30" i="62"/>
  <c r="N30" i="62"/>
  <c r="F30" i="62"/>
  <c r="AR30" i="62"/>
  <c r="AJ30" i="62"/>
  <c r="AB30" i="62"/>
  <c r="AS30" i="62"/>
  <c r="AG30" i="62"/>
  <c r="S30" i="62"/>
  <c r="AQ30" i="62"/>
  <c r="AF30" i="62"/>
  <c r="AP30" i="62"/>
  <c r="AC30" i="62"/>
  <c r="Q30" i="62"/>
  <c r="AN30" i="62"/>
  <c r="AO30" i="62"/>
  <c r="AA30" i="62"/>
  <c r="P30" i="62"/>
  <c r="Z30" i="62"/>
  <c r="AK30" i="62"/>
  <c r="Y30" i="62"/>
  <c r="AI30" i="62"/>
  <c r="X30" i="62"/>
  <c r="L33" i="62"/>
  <c r="K33" i="62"/>
  <c r="AN38" i="62"/>
  <c r="AF25" i="62"/>
  <c r="N26" i="62"/>
  <c r="AE27" i="62"/>
  <c r="K28" i="62"/>
  <c r="I30" i="62"/>
  <c r="Q39" i="62"/>
  <c r="AF29" i="62"/>
  <c r="F36" i="62"/>
  <c r="Q36" i="62"/>
  <c r="AE36" i="62"/>
  <c r="AQ36" i="62"/>
  <c r="I37" i="62"/>
  <c r="W37" i="62"/>
  <c r="Q38" i="62"/>
  <c r="AG38" i="62"/>
  <c r="I67" i="62"/>
  <c r="AL29" i="62"/>
  <c r="AS29" i="62"/>
  <c r="AK29" i="62"/>
  <c r="AC29" i="62"/>
  <c r="U29" i="62"/>
  <c r="AQ29" i="62"/>
  <c r="AI29" i="62"/>
  <c r="AA29" i="62"/>
  <c r="S29" i="62"/>
  <c r="AL37" i="62"/>
  <c r="AD37" i="62"/>
  <c r="N37" i="62"/>
  <c r="F37" i="62"/>
  <c r="AS37" i="62"/>
  <c r="AK37" i="62"/>
  <c r="AC37" i="62"/>
  <c r="U37" i="62"/>
  <c r="M37" i="62"/>
  <c r="AQ37" i="62"/>
  <c r="AI37" i="62"/>
  <c r="AA37" i="62"/>
  <c r="S37" i="62"/>
  <c r="W29" i="62"/>
  <c r="AG29" i="62"/>
  <c r="G36" i="62"/>
  <c r="S36" i="62"/>
  <c r="AF36" i="62"/>
  <c r="J37" i="62"/>
  <c r="X37" i="62"/>
  <c r="AJ37" i="62"/>
  <c r="R38" i="62"/>
  <c r="AH38" i="62"/>
  <c r="L30" i="62"/>
  <c r="Y29" i="62"/>
  <c r="AJ29" i="62"/>
  <c r="K32" i="62"/>
  <c r="I36" i="62"/>
  <c r="W36" i="62"/>
  <c r="AI36" i="62"/>
  <c r="O37" i="62"/>
  <c r="Z37" i="62"/>
  <c r="AN37" i="62"/>
  <c r="H38" i="62"/>
  <c r="X38" i="62"/>
  <c r="K40" i="62"/>
  <c r="AM38" i="62"/>
  <c r="AE38" i="62"/>
  <c r="W38" i="62"/>
  <c r="O38" i="62"/>
  <c r="G38" i="62"/>
  <c r="AL38" i="62"/>
  <c r="AD38" i="62"/>
  <c r="N38" i="62"/>
  <c r="F38" i="62"/>
  <c r="AS38" i="62"/>
  <c r="AK38" i="62"/>
  <c r="AC38" i="62"/>
  <c r="U38" i="62"/>
  <c r="M38" i="62"/>
  <c r="AR38" i="62"/>
  <c r="AJ38" i="62"/>
  <c r="AB38" i="62"/>
  <c r="T38" i="62"/>
  <c r="F29" i="62"/>
  <c r="P29" i="62"/>
  <c r="Z29" i="62"/>
  <c r="AM29" i="62"/>
  <c r="X36" i="62"/>
  <c r="AL36" i="62"/>
  <c r="P37" i="62"/>
  <c r="AB37" i="62"/>
  <c r="AO37" i="62"/>
  <c r="I38" i="62"/>
  <c r="Y38" i="62"/>
  <c r="AO38" i="62"/>
  <c r="AU31" i="62"/>
  <c r="AU39" i="62"/>
  <c r="Q29" i="62"/>
  <c r="AB29" i="62"/>
  <c r="AN29" i="62"/>
  <c r="N36" i="62"/>
  <c r="Y36" i="62"/>
  <c r="Q37" i="62"/>
  <c r="AE37" i="62"/>
  <c r="AP37" i="62"/>
  <c r="J38" i="62"/>
  <c r="Z38" i="62"/>
  <c r="AP38" i="62"/>
  <c r="K39" i="62"/>
  <c r="AS36" i="62"/>
  <c r="AK36" i="62"/>
  <c r="AC36" i="62"/>
  <c r="U36" i="62"/>
  <c r="M36" i="62"/>
  <c r="AR36" i="62"/>
  <c r="AJ36" i="62"/>
  <c r="AB36" i="62"/>
  <c r="T36" i="62"/>
  <c r="AP36" i="62"/>
  <c r="AH36" i="62"/>
  <c r="Z36" i="62"/>
  <c r="R36" i="62"/>
  <c r="J36" i="62"/>
  <c r="AD29" i="62"/>
  <c r="AO29" i="62"/>
  <c r="O36" i="62"/>
  <c r="AA36" i="62"/>
  <c r="AN36" i="62"/>
  <c r="G37" i="62"/>
  <c r="R37" i="62"/>
  <c r="AF37" i="62"/>
  <c r="AR37" i="62"/>
  <c r="K38" i="62"/>
  <c r="AA38" i="62"/>
  <c r="AQ38" i="62"/>
  <c r="G46" i="12"/>
  <c r="I67" i="43"/>
  <c r="F74" i="44"/>
  <c r="F72" i="44"/>
  <c r="G9" i="62" l="1"/>
  <c r="G28" i="62" s="1"/>
  <c r="D40" i="63"/>
  <c r="D36" i="63"/>
  <c r="V32" i="63"/>
  <c r="D33" i="63"/>
  <c r="V33" i="63"/>
  <c r="V36" i="63"/>
  <c r="V37" i="63"/>
  <c r="V35" i="63"/>
  <c r="V29" i="63"/>
  <c r="V31" i="63"/>
  <c r="V39" i="63"/>
  <c r="D39" i="63"/>
  <c r="D27" i="63"/>
  <c r="D29" i="63"/>
  <c r="D35" i="63"/>
  <c r="D28" i="63"/>
  <c r="F42" i="63"/>
  <c r="F43" i="63" s="1"/>
  <c r="L42" i="63"/>
  <c r="L43" i="63" s="1"/>
  <c r="V26" i="63"/>
  <c r="AD42" i="63"/>
  <c r="AD43" i="63" s="1"/>
  <c r="V40" i="63"/>
  <c r="AL42" i="63"/>
  <c r="AL43" i="63" s="1"/>
  <c r="D31" i="63"/>
  <c r="D38" i="63"/>
  <c r="D37" i="63"/>
  <c r="AO42" i="63"/>
  <c r="AO43" i="63" s="1"/>
  <c r="D32" i="63"/>
  <c r="V38" i="63"/>
  <c r="T42" i="63"/>
  <c r="T43" i="63" s="1"/>
  <c r="J42" i="63"/>
  <c r="J43" i="63" s="1"/>
  <c r="G42" i="63"/>
  <c r="G43" i="63" s="1"/>
  <c r="AF42" i="63"/>
  <c r="AF43" i="63" s="1"/>
  <c r="R42" i="63"/>
  <c r="R43" i="63" s="1"/>
  <c r="E42" i="63"/>
  <c r="I49" i="63"/>
  <c r="AB42" i="63"/>
  <c r="AB43" i="63" s="1"/>
  <c r="AQ42" i="63"/>
  <c r="AQ43" i="63" s="1"/>
  <c r="V28" i="63"/>
  <c r="O42" i="63"/>
  <c r="O43" i="63" s="1"/>
  <c r="AN42" i="63"/>
  <c r="AN43" i="63" s="1"/>
  <c r="Z42" i="63"/>
  <c r="Z43" i="63" s="1"/>
  <c r="N42" i="63"/>
  <c r="N43" i="63" s="1"/>
  <c r="X42" i="63"/>
  <c r="K42" i="63"/>
  <c r="K43" i="63" s="1"/>
  <c r="W42" i="63"/>
  <c r="W43" i="63" s="1"/>
  <c r="I42" i="63"/>
  <c r="I43" i="63" s="1"/>
  <c r="AH42" i="63"/>
  <c r="AH43" i="63" s="1"/>
  <c r="AS42" i="63"/>
  <c r="AS43" i="63" s="1"/>
  <c r="V34" i="63"/>
  <c r="V27" i="63"/>
  <c r="V30" i="63"/>
  <c r="M42" i="63"/>
  <c r="AE42" i="63"/>
  <c r="AE43" i="63" s="1"/>
  <c r="Q42" i="63"/>
  <c r="Q43" i="63" s="1"/>
  <c r="AP42" i="63"/>
  <c r="AP43" i="63" s="1"/>
  <c r="D30" i="63"/>
  <c r="AJ42" i="63"/>
  <c r="AJ43" i="63" s="1"/>
  <c r="Y42" i="63"/>
  <c r="G74" i="63"/>
  <c r="I51" i="63"/>
  <c r="AR42" i="63"/>
  <c r="AR43" i="63" s="1"/>
  <c r="U42" i="63"/>
  <c r="U43" i="63" s="1"/>
  <c r="AM42" i="63"/>
  <c r="AM43" i="63" s="1"/>
  <c r="S42" i="63"/>
  <c r="S43" i="63" s="1"/>
  <c r="B51" i="63"/>
  <c r="B50" i="63"/>
  <c r="B49" i="63"/>
  <c r="D25" i="63"/>
  <c r="D42" i="63" s="1"/>
  <c r="AC42" i="63"/>
  <c r="AC43" i="63" s="1"/>
  <c r="H42" i="63"/>
  <c r="H43" i="63" s="1"/>
  <c r="AG42" i="63"/>
  <c r="AG43" i="63" s="1"/>
  <c r="AA42" i="63"/>
  <c r="AA43" i="63" s="1"/>
  <c r="D26" i="63"/>
  <c r="V25" i="63"/>
  <c r="AK42" i="63"/>
  <c r="AK43" i="63" s="1"/>
  <c r="P42" i="63"/>
  <c r="P43" i="63" s="1"/>
  <c r="AI42" i="63"/>
  <c r="AI43" i="63" s="1"/>
  <c r="G72" i="62"/>
  <c r="D38" i="62"/>
  <c r="D29" i="62"/>
  <c r="G73" i="62"/>
  <c r="B51" i="62"/>
  <c r="D36" i="62"/>
  <c r="D27" i="62"/>
  <c r="D37" i="62"/>
  <c r="D40" i="62"/>
  <c r="D39" i="62"/>
  <c r="I42" i="62"/>
  <c r="I43" i="62" s="1"/>
  <c r="D34" i="62"/>
  <c r="AF42" i="62"/>
  <c r="AF43" i="62" s="1"/>
  <c r="V27" i="62"/>
  <c r="D33" i="62"/>
  <c r="P42" i="62"/>
  <c r="P43" i="62" s="1"/>
  <c r="D26" i="62"/>
  <c r="D31" i="62"/>
  <c r="U42" i="62"/>
  <c r="U43" i="62" s="1"/>
  <c r="D35" i="62"/>
  <c r="D28" i="62"/>
  <c r="D30" i="62"/>
  <c r="V40" i="62"/>
  <c r="V39" i="62"/>
  <c r="V31" i="62"/>
  <c r="V37" i="62"/>
  <c r="V38" i="62"/>
  <c r="V28" i="62"/>
  <c r="V33" i="62"/>
  <c r="V35" i="62"/>
  <c r="V32" i="62"/>
  <c r="N42" i="62"/>
  <c r="N43" i="62" s="1"/>
  <c r="AH42" i="62"/>
  <c r="AH43" i="62" s="1"/>
  <c r="AB42" i="62"/>
  <c r="AB43" i="62" s="1"/>
  <c r="V34" i="62"/>
  <c r="V26" i="62"/>
  <c r="V25" i="62"/>
  <c r="AL42" i="62"/>
  <c r="AL43" i="62" s="1"/>
  <c r="Y42" i="62"/>
  <c r="AP42" i="62"/>
  <c r="AP43" i="62" s="1"/>
  <c r="AJ42" i="62"/>
  <c r="AJ43" i="62" s="1"/>
  <c r="Z42" i="62"/>
  <c r="Z43" i="62" s="1"/>
  <c r="X42" i="62"/>
  <c r="AG42" i="62"/>
  <c r="AG43" i="62" s="1"/>
  <c r="S42" i="62"/>
  <c r="S43" i="62" s="1"/>
  <c r="AR42" i="62"/>
  <c r="AR43" i="62" s="1"/>
  <c r="V30" i="62"/>
  <c r="K42" i="62"/>
  <c r="K43" i="62" s="1"/>
  <c r="AO42" i="62"/>
  <c r="AO43" i="62" s="1"/>
  <c r="AA42" i="62"/>
  <c r="AA43" i="62" s="1"/>
  <c r="AD42" i="62"/>
  <c r="AD43" i="62" s="1"/>
  <c r="L42" i="62"/>
  <c r="L43" i="62" s="1"/>
  <c r="AC42" i="62"/>
  <c r="AC43" i="62" s="1"/>
  <c r="V36" i="62"/>
  <c r="W42" i="62"/>
  <c r="W43" i="62" s="1"/>
  <c r="I49" i="62"/>
  <c r="E42" i="62"/>
  <c r="AI42" i="62"/>
  <c r="AI43" i="62" s="1"/>
  <c r="B50" i="62"/>
  <c r="V29" i="62"/>
  <c r="AN42" i="62"/>
  <c r="AN43" i="62" s="1"/>
  <c r="AK42" i="62"/>
  <c r="AK43" i="62" s="1"/>
  <c r="AE42" i="62"/>
  <c r="AE43" i="62" s="1"/>
  <c r="AQ42" i="62"/>
  <c r="AQ43" i="62" s="1"/>
  <c r="Q42" i="62"/>
  <c r="Q43" i="62" s="1"/>
  <c r="AS42" i="62"/>
  <c r="AS43" i="62" s="1"/>
  <c r="F42" i="62"/>
  <c r="F43" i="62" s="1"/>
  <c r="AM42" i="62"/>
  <c r="AM43" i="62" s="1"/>
  <c r="D25" i="62"/>
  <c r="T24" i="12"/>
  <c r="T25" i="12"/>
  <c r="M47" i="12"/>
  <c r="M48" i="12"/>
  <c r="M49" i="12"/>
  <c r="M50" i="12"/>
  <c r="M51" i="12"/>
  <c r="M52" i="12"/>
  <c r="M53" i="12"/>
  <c r="M54" i="12"/>
  <c r="M55" i="12"/>
  <c r="M56" i="12"/>
  <c r="M57" i="12"/>
  <c r="M58" i="12"/>
  <c r="M59" i="12"/>
  <c r="M60" i="12"/>
  <c r="M61" i="12"/>
  <c r="M63" i="12"/>
  <c r="M62" i="12"/>
  <c r="M80" i="12"/>
  <c r="M81" i="12"/>
  <c r="M82" i="12"/>
  <c r="M83" i="12"/>
  <c r="M84" i="12"/>
  <c r="H98" i="12"/>
  <c r="G98" i="12" s="1"/>
  <c r="T98" i="12"/>
  <c r="R98" i="12"/>
  <c r="M98" i="12"/>
  <c r="M9" i="62" l="1"/>
  <c r="M28" i="62" s="1"/>
  <c r="M15" i="62"/>
  <c r="M34" i="62" s="1"/>
  <c r="I54" i="63"/>
  <c r="M43" i="63"/>
  <c r="I48" i="63"/>
  <c r="V42" i="63"/>
  <c r="V43" i="63" s="1"/>
  <c r="I50" i="63" s="1"/>
  <c r="I53" i="63"/>
  <c r="Y43" i="63"/>
  <c r="I52" i="63"/>
  <c r="X43" i="63"/>
  <c r="I51" i="62"/>
  <c r="G74" i="62"/>
  <c r="D42" i="62"/>
  <c r="I54" i="62"/>
  <c r="V42" i="62"/>
  <c r="V43" i="62" s="1"/>
  <c r="I50" i="62" s="1"/>
  <c r="I52" i="62"/>
  <c r="X43" i="62"/>
  <c r="I53" i="62"/>
  <c r="Y43" i="62"/>
  <c r="T33" i="12"/>
  <c r="R33" i="12"/>
  <c r="O33" i="12"/>
  <c r="M33" i="12"/>
  <c r="H33" i="12"/>
  <c r="G33" i="12" s="1"/>
  <c r="O24" i="12" l="1"/>
  <c r="F7" i="53" l="1"/>
  <c r="A25" i="53"/>
  <c r="A26" i="53"/>
  <c r="A27" i="53"/>
  <c r="A28" i="53"/>
  <c r="A29" i="53"/>
  <c r="B67" i="54" l="1"/>
  <c r="D57" i="54" s="1"/>
  <c r="E57" i="54" s="1"/>
  <c r="G65" i="54"/>
  <c r="F65" i="54"/>
  <c r="E65" i="54"/>
  <c r="D65" i="54"/>
  <c r="C65" i="54"/>
  <c r="G64" i="54"/>
  <c r="F64" i="54"/>
  <c r="E64" i="54"/>
  <c r="D64" i="54"/>
  <c r="C64" i="54"/>
  <c r="G63" i="54"/>
  <c r="F63" i="54"/>
  <c r="E63" i="54"/>
  <c r="D63" i="54"/>
  <c r="C63" i="54"/>
  <c r="G62" i="54"/>
  <c r="F62" i="54"/>
  <c r="E62" i="54"/>
  <c r="D62" i="54"/>
  <c r="C62" i="54"/>
  <c r="G61" i="54"/>
  <c r="F61" i="54"/>
  <c r="E61" i="54"/>
  <c r="D61" i="54"/>
  <c r="C61" i="54"/>
  <c r="C42" i="54"/>
  <c r="A40" i="54"/>
  <c r="A65" i="54" s="1"/>
  <c r="A39" i="54"/>
  <c r="A64" i="54" s="1"/>
  <c r="A38" i="54"/>
  <c r="A63" i="54" s="1"/>
  <c r="A37" i="54"/>
  <c r="A62" i="54" s="1"/>
  <c r="A36" i="54"/>
  <c r="A61" i="54" s="1"/>
  <c r="A35" i="54"/>
  <c r="A60" i="54" s="1"/>
  <c r="A34" i="54"/>
  <c r="A59" i="54" s="1"/>
  <c r="A33" i="54"/>
  <c r="A58" i="54" s="1"/>
  <c r="A32" i="54"/>
  <c r="A57" i="54" s="1"/>
  <c r="A31" i="54"/>
  <c r="A56" i="54" s="1"/>
  <c r="A30" i="54"/>
  <c r="A55" i="54" s="1"/>
  <c r="A29" i="54"/>
  <c r="A54" i="54" s="1"/>
  <c r="A28" i="54"/>
  <c r="A53" i="54" s="1"/>
  <c r="A27" i="54"/>
  <c r="A52" i="54" s="1"/>
  <c r="A26" i="54"/>
  <c r="A51" i="54" s="1"/>
  <c r="A25" i="54"/>
  <c r="A50" i="54" s="1"/>
  <c r="B23" i="54"/>
  <c r="BC21" i="54"/>
  <c r="BC40" i="54" s="1"/>
  <c r="BB21" i="54"/>
  <c r="BB40" i="54" s="1"/>
  <c r="BA21" i="54"/>
  <c r="BA40" i="54" s="1"/>
  <c r="AZ21" i="54"/>
  <c r="AZ40" i="54" s="1"/>
  <c r="AY21" i="54"/>
  <c r="AY40" i="54" s="1"/>
  <c r="AX21" i="54"/>
  <c r="AX40" i="54" s="1"/>
  <c r="AW21" i="54"/>
  <c r="AW40" i="54" s="1"/>
  <c r="AV21" i="54"/>
  <c r="AU21" i="54"/>
  <c r="AT21" i="54"/>
  <c r="AS21" i="54"/>
  <c r="AR21" i="54"/>
  <c r="AQ21" i="54"/>
  <c r="AP21" i="54"/>
  <c r="AO21" i="54"/>
  <c r="AN21" i="54"/>
  <c r="AM21" i="54"/>
  <c r="AL21" i="54"/>
  <c r="AK21" i="54"/>
  <c r="AJ21" i="54"/>
  <c r="AI21" i="54"/>
  <c r="AH21" i="54"/>
  <c r="AG21" i="54"/>
  <c r="AF21" i="54"/>
  <c r="AE21" i="54"/>
  <c r="AD21" i="54"/>
  <c r="AC21" i="54"/>
  <c r="AB21" i="54"/>
  <c r="AA21" i="54"/>
  <c r="Z21" i="54"/>
  <c r="Y21" i="54"/>
  <c r="X21" i="54"/>
  <c r="W21" i="54"/>
  <c r="V21" i="54"/>
  <c r="V40" i="54" s="1"/>
  <c r="U21" i="54"/>
  <c r="T21" i="54"/>
  <c r="S21" i="54"/>
  <c r="R21" i="54"/>
  <c r="Q21" i="54"/>
  <c r="P21" i="54"/>
  <c r="O21" i="54"/>
  <c r="N21" i="54"/>
  <c r="M21" i="54"/>
  <c r="L21" i="54"/>
  <c r="K21" i="54"/>
  <c r="J21" i="54"/>
  <c r="I21" i="54"/>
  <c r="H21" i="54"/>
  <c r="G21" i="54"/>
  <c r="F21" i="54"/>
  <c r="E21" i="54"/>
  <c r="E40" i="54" s="1"/>
  <c r="C21" i="54"/>
  <c r="B21" i="54"/>
  <c r="B40" i="54" s="1"/>
  <c r="BC20" i="54"/>
  <c r="BC39" i="54" s="1"/>
  <c r="BB20" i="54"/>
  <c r="BB39" i="54" s="1"/>
  <c r="BA20" i="54"/>
  <c r="BA39" i="54" s="1"/>
  <c r="AZ20" i="54"/>
  <c r="AZ39" i="54" s="1"/>
  <c r="AY20" i="54"/>
  <c r="AY39" i="54" s="1"/>
  <c r="AX20" i="54"/>
  <c r="AX39" i="54" s="1"/>
  <c r="AW20" i="54"/>
  <c r="AW39" i="54" s="1"/>
  <c r="AV20" i="54"/>
  <c r="AU20" i="54"/>
  <c r="AT20" i="54"/>
  <c r="AS20" i="54"/>
  <c r="AR20" i="54"/>
  <c r="AQ20" i="54"/>
  <c r="AP20" i="54"/>
  <c r="AO20" i="54"/>
  <c r="AN20" i="54"/>
  <c r="AM20" i="54"/>
  <c r="AL20" i="54"/>
  <c r="AK20" i="54"/>
  <c r="AJ20" i="54"/>
  <c r="AI20" i="54"/>
  <c r="AH20" i="54"/>
  <c r="AG20" i="54"/>
  <c r="AF20" i="54"/>
  <c r="AE20" i="54"/>
  <c r="AD20" i="54"/>
  <c r="AC20" i="54"/>
  <c r="AB20" i="54"/>
  <c r="AA20" i="54"/>
  <c r="Z20" i="54"/>
  <c r="Y20" i="54"/>
  <c r="X20" i="54"/>
  <c r="W20" i="54"/>
  <c r="V20" i="54"/>
  <c r="V39" i="54" s="1"/>
  <c r="U20" i="54"/>
  <c r="T20" i="54"/>
  <c r="S20" i="54"/>
  <c r="R20" i="54"/>
  <c r="Q20" i="54"/>
  <c r="P20" i="54"/>
  <c r="O20" i="54"/>
  <c r="N20" i="54"/>
  <c r="M20" i="54"/>
  <c r="L20" i="54"/>
  <c r="K20" i="54"/>
  <c r="J20" i="54"/>
  <c r="I20" i="54"/>
  <c r="H20" i="54"/>
  <c r="G20" i="54"/>
  <c r="F20" i="54"/>
  <c r="E20" i="54"/>
  <c r="E39" i="54" s="1"/>
  <c r="C20" i="54"/>
  <c r="B20" i="54"/>
  <c r="B39" i="54" s="1"/>
  <c r="BC19" i="54"/>
  <c r="BC38" i="54" s="1"/>
  <c r="BB19" i="54"/>
  <c r="BB38" i="54" s="1"/>
  <c r="BA19" i="54"/>
  <c r="BA38" i="54" s="1"/>
  <c r="AZ19" i="54"/>
  <c r="AZ38" i="54" s="1"/>
  <c r="AY19" i="54"/>
  <c r="AY38" i="54" s="1"/>
  <c r="AX19" i="54"/>
  <c r="AX38" i="54" s="1"/>
  <c r="AW19" i="54"/>
  <c r="AW38" i="54" s="1"/>
  <c r="AV19" i="54"/>
  <c r="AU19" i="54"/>
  <c r="AT19" i="54"/>
  <c r="AS19" i="54"/>
  <c r="AR19" i="54"/>
  <c r="AQ19" i="54"/>
  <c r="AP19" i="54"/>
  <c r="AO19" i="54"/>
  <c r="AN19" i="54"/>
  <c r="AM19" i="54"/>
  <c r="AL19" i="54"/>
  <c r="AK19" i="54"/>
  <c r="AJ19" i="54"/>
  <c r="AI19" i="54"/>
  <c r="AH19" i="54"/>
  <c r="AG19" i="54"/>
  <c r="AF19" i="54"/>
  <c r="AE19" i="54"/>
  <c r="AD19" i="54"/>
  <c r="AC19" i="54"/>
  <c r="AB19" i="54"/>
  <c r="AA19" i="54"/>
  <c r="Z19" i="54"/>
  <c r="Y19" i="54"/>
  <c r="X19" i="54"/>
  <c r="W19" i="54"/>
  <c r="V19" i="54"/>
  <c r="V38" i="54" s="1"/>
  <c r="U19" i="54"/>
  <c r="T19" i="54"/>
  <c r="S19" i="54"/>
  <c r="R19" i="54"/>
  <c r="Q19" i="54"/>
  <c r="P19" i="54"/>
  <c r="O19" i="54"/>
  <c r="N19" i="54"/>
  <c r="M19" i="54"/>
  <c r="L19" i="54"/>
  <c r="K19" i="54"/>
  <c r="J19" i="54"/>
  <c r="I19" i="54"/>
  <c r="H19" i="54"/>
  <c r="G19" i="54"/>
  <c r="F19" i="54"/>
  <c r="E19" i="54"/>
  <c r="E38" i="54" s="1"/>
  <c r="AS38" i="54" s="1"/>
  <c r="C19" i="54"/>
  <c r="B19" i="54"/>
  <c r="B38" i="54" s="1"/>
  <c r="BC18" i="54"/>
  <c r="BC37" i="54" s="1"/>
  <c r="BB18" i="54"/>
  <c r="BB37" i="54" s="1"/>
  <c r="BA18" i="54"/>
  <c r="BA37" i="54" s="1"/>
  <c r="AZ18" i="54"/>
  <c r="AZ37" i="54" s="1"/>
  <c r="AY18" i="54"/>
  <c r="AY37" i="54" s="1"/>
  <c r="AX18" i="54"/>
  <c r="AX37" i="54" s="1"/>
  <c r="AW18" i="54"/>
  <c r="AW37" i="54" s="1"/>
  <c r="AV18" i="54"/>
  <c r="AU18" i="54"/>
  <c r="AT18" i="54"/>
  <c r="AS18" i="54"/>
  <c r="AR18" i="54"/>
  <c r="AQ18" i="54"/>
  <c r="AP18" i="54"/>
  <c r="AO18" i="54"/>
  <c r="AN18" i="54"/>
  <c r="AM18" i="54"/>
  <c r="AL18" i="54"/>
  <c r="AK18" i="54"/>
  <c r="AJ18" i="54"/>
  <c r="AI18" i="54"/>
  <c r="AH18" i="54"/>
  <c r="AG18" i="54"/>
  <c r="AF18" i="54"/>
  <c r="AE18" i="54"/>
  <c r="AD18" i="54"/>
  <c r="AC18" i="54"/>
  <c r="AB18" i="54"/>
  <c r="AA18" i="54"/>
  <c r="Z18" i="54"/>
  <c r="Y18" i="54"/>
  <c r="X18" i="54"/>
  <c r="W18" i="54"/>
  <c r="V18" i="54"/>
  <c r="V37" i="54" s="1"/>
  <c r="U18" i="54"/>
  <c r="T18" i="54"/>
  <c r="S18" i="54"/>
  <c r="R18" i="54"/>
  <c r="Q18" i="54"/>
  <c r="P18" i="54"/>
  <c r="O18" i="54"/>
  <c r="N18" i="54"/>
  <c r="M18" i="54"/>
  <c r="L18" i="54"/>
  <c r="K18" i="54"/>
  <c r="J18" i="54"/>
  <c r="I18" i="54"/>
  <c r="H18" i="54"/>
  <c r="G18" i="54"/>
  <c r="F18" i="54"/>
  <c r="E18" i="54"/>
  <c r="E37" i="54" s="1"/>
  <c r="C18" i="54"/>
  <c r="B18" i="54"/>
  <c r="B37" i="54" s="1"/>
  <c r="BC17" i="54"/>
  <c r="BC36" i="54" s="1"/>
  <c r="BB17" i="54"/>
  <c r="BB36" i="54" s="1"/>
  <c r="BA17" i="54"/>
  <c r="BA36" i="54" s="1"/>
  <c r="AZ17" i="54"/>
  <c r="AZ36" i="54" s="1"/>
  <c r="AY17" i="54"/>
  <c r="AY36" i="54" s="1"/>
  <c r="AX17" i="54"/>
  <c r="AX36" i="54" s="1"/>
  <c r="AW17" i="54"/>
  <c r="AW36" i="54" s="1"/>
  <c r="AV17" i="54"/>
  <c r="AU17" i="54"/>
  <c r="AT17" i="54"/>
  <c r="AS17" i="54"/>
  <c r="AR17" i="54"/>
  <c r="AQ17" i="54"/>
  <c r="AP17" i="54"/>
  <c r="AO17" i="54"/>
  <c r="AN17" i="54"/>
  <c r="AM17" i="54"/>
  <c r="AL17" i="54"/>
  <c r="AK17" i="54"/>
  <c r="AJ17" i="54"/>
  <c r="AI17" i="54"/>
  <c r="AH17" i="54"/>
  <c r="AG17" i="54"/>
  <c r="AF17" i="54"/>
  <c r="AE17" i="54"/>
  <c r="AD17" i="54"/>
  <c r="AC17" i="54"/>
  <c r="AB17" i="54"/>
  <c r="AA17" i="54"/>
  <c r="Z17" i="54"/>
  <c r="Y17" i="54"/>
  <c r="X17" i="54"/>
  <c r="W17" i="54"/>
  <c r="V17" i="54"/>
  <c r="V36" i="54" s="1"/>
  <c r="U17" i="54"/>
  <c r="T17" i="54"/>
  <c r="S17" i="54"/>
  <c r="R17" i="54"/>
  <c r="Q17" i="54"/>
  <c r="P17" i="54"/>
  <c r="O17" i="54"/>
  <c r="N17" i="54"/>
  <c r="M17" i="54"/>
  <c r="L17" i="54"/>
  <c r="K17" i="54"/>
  <c r="J17" i="54"/>
  <c r="I17" i="54"/>
  <c r="H17" i="54"/>
  <c r="G17" i="54"/>
  <c r="F17" i="54"/>
  <c r="E17" i="54"/>
  <c r="E36" i="54" s="1"/>
  <c r="C17" i="54"/>
  <c r="B17" i="54"/>
  <c r="B36" i="54" s="1"/>
  <c r="BC16" i="54"/>
  <c r="BC35" i="54" s="1"/>
  <c r="BB16" i="54"/>
  <c r="BB35" i="54" s="1"/>
  <c r="BA16" i="54"/>
  <c r="BA35" i="54" s="1"/>
  <c r="AZ16" i="54"/>
  <c r="AZ35" i="54" s="1"/>
  <c r="AY16" i="54"/>
  <c r="AY35" i="54" s="1"/>
  <c r="AX16" i="54"/>
  <c r="AX35" i="54" s="1"/>
  <c r="AW16" i="54"/>
  <c r="AW35" i="54" s="1"/>
  <c r="AV16" i="54"/>
  <c r="AU16" i="54"/>
  <c r="AT16" i="54"/>
  <c r="AS16" i="54"/>
  <c r="AR16" i="54"/>
  <c r="AQ16" i="54"/>
  <c r="AP16" i="54"/>
  <c r="AO16" i="54"/>
  <c r="AN16" i="54"/>
  <c r="AM16" i="54"/>
  <c r="AL16" i="54"/>
  <c r="AK16" i="54"/>
  <c r="AJ16" i="54"/>
  <c r="AI16" i="54"/>
  <c r="AH16" i="54"/>
  <c r="AG16" i="54"/>
  <c r="AF16" i="54"/>
  <c r="AE16" i="54"/>
  <c r="AD16" i="54"/>
  <c r="AC16" i="54"/>
  <c r="AB16" i="54"/>
  <c r="AA16" i="54"/>
  <c r="Z16" i="54"/>
  <c r="Y16" i="54"/>
  <c r="X16" i="54"/>
  <c r="W16" i="54"/>
  <c r="V16" i="54"/>
  <c r="V35" i="54" s="1"/>
  <c r="U16" i="54"/>
  <c r="T16" i="54"/>
  <c r="S16" i="54"/>
  <c r="R16" i="54"/>
  <c r="Q16" i="54"/>
  <c r="P16" i="54"/>
  <c r="O16" i="54"/>
  <c r="N16" i="54"/>
  <c r="M16" i="54"/>
  <c r="L16" i="54"/>
  <c r="K16" i="54"/>
  <c r="J16" i="54"/>
  <c r="I16" i="54"/>
  <c r="H16" i="54"/>
  <c r="G16" i="54"/>
  <c r="F16" i="54"/>
  <c r="E16" i="54"/>
  <c r="E35" i="54" s="1"/>
  <c r="C16" i="54"/>
  <c r="B16" i="54"/>
  <c r="BC15" i="54"/>
  <c r="BC34" i="54" s="1"/>
  <c r="BB15" i="54"/>
  <c r="BB34" i="54" s="1"/>
  <c r="BA15" i="54"/>
  <c r="BA34" i="54" s="1"/>
  <c r="AZ15" i="54"/>
  <c r="AZ34" i="54" s="1"/>
  <c r="AY15" i="54"/>
  <c r="AY34" i="54" s="1"/>
  <c r="AX15" i="54"/>
  <c r="AX34" i="54" s="1"/>
  <c r="AW15" i="54"/>
  <c r="AW34" i="54" s="1"/>
  <c r="AV15" i="54"/>
  <c r="AU15" i="54"/>
  <c r="AT15" i="54"/>
  <c r="AS15" i="54"/>
  <c r="AR15" i="54"/>
  <c r="AQ15" i="54"/>
  <c r="AP15" i="54"/>
  <c r="AO15" i="54"/>
  <c r="AN15" i="54"/>
  <c r="AM15" i="54"/>
  <c r="AL15" i="54"/>
  <c r="AK15" i="54"/>
  <c r="AJ15" i="54"/>
  <c r="AI15" i="54"/>
  <c r="AH15" i="54"/>
  <c r="AG15" i="54"/>
  <c r="AF15" i="54"/>
  <c r="AE15" i="54"/>
  <c r="AD15" i="54"/>
  <c r="AC15" i="54"/>
  <c r="AB15" i="54"/>
  <c r="AA15" i="54"/>
  <c r="Z15" i="54"/>
  <c r="Y15" i="54"/>
  <c r="X15" i="54"/>
  <c r="W15" i="54"/>
  <c r="V15" i="54"/>
  <c r="V34" i="54" s="1"/>
  <c r="U15" i="54"/>
  <c r="T15" i="54"/>
  <c r="S15" i="54"/>
  <c r="R15" i="54"/>
  <c r="Q15" i="54"/>
  <c r="P15" i="54"/>
  <c r="O15" i="54"/>
  <c r="N15" i="54"/>
  <c r="M15" i="54"/>
  <c r="L15" i="54"/>
  <c r="K15" i="54"/>
  <c r="J15" i="54"/>
  <c r="I15" i="54"/>
  <c r="H15" i="54"/>
  <c r="G15" i="54"/>
  <c r="F15" i="54"/>
  <c r="E15" i="54"/>
  <c r="E34" i="54" s="1"/>
  <c r="C15" i="54"/>
  <c r="B15" i="54"/>
  <c r="C59" i="54" s="1"/>
  <c r="BC14" i="54"/>
  <c r="BC33" i="54" s="1"/>
  <c r="BB14" i="54"/>
  <c r="BB33" i="54" s="1"/>
  <c r="BA14" i="54"/>
  <c r="BA33" i="54" s="1"/>
  <c r="AZ14" i="54"/>
  <c r="AZ33" i="54" s="1"/>
  <c r="AY14" i="54"/>
  <c r="AY33" i="54" s="1"/>
  <c r="AX14" i="54"/>
  <c r="AX33" i="54" s="1"/>
  <c r="AW14" i="54"/>
  <c r="AW33" i="54" s="1"/>
  <c r="AV14" i="54"/>
  <c r="AU14" i="54"/>
  <c r="AT14" i="54"/>
  <c r="AS14" i="54"/>
  <c r="AR14" i="54"/>
  <c r="AQ14" i="54"/>
  <c r="AP14" i="54"/>
  <c r="AO14" i="54"/>
  <c r="AN14" i="54"/>
  <c r="AM14" i="54"/>
  <c r="AL14" i="54"/>
  <c r="AK14" i="54"/>
  <c r="AJ14" i="54"/>
  <c r="AI14" i="54"/>
  <c r="AH14" i="54"/>
  <c r="AG14" i="54"/>
  <c r="AF14" i="54"/>
  <c r="AE14" i="54"/>
  <c r="AD14" i="54"/>
  <c r="AC14" i="54"/>
  <c r="AB14" i="54"/>
  <c r="AA14" i="54"/>
  <c r="Z14" i="54"/>
  <c r="Y14" i="54"/>
  <c r="X14" i="54"/>
  <c r="W14" i="54"/>
  <c r="V14" i="54"/>
  <c r="V33" i="54" s="1"/>
  <c r="U14" i="54"/>
  <c r="T14" i="54"/>
  <c r="S14" i="54"/>
  <c r="R14" i="54"/>
  <c r="Q14" i="54"/>
  <c r="P14" i="54"/>
  <c r="O14" i="54"/>
  <c r="N14" i="54"/>
  <c r="M14" i="54"/>
  <c r="L14" i="54"/>
  <c r="K14" i="54"/>
  <c r="J14" i="54"/>
  <c r="I14" i="54"/>
  <c r="H14" i="54"/>
  <c r="G14" i="54"/>
  <c r="F14" i="54"/>
  <c r="E14" i="54"/>
  <c r="E33" i="54" s="1"/>
  <c r="C14" i="54"/>
  <c r="B14" i="54"/>
  <c r="C58" i="54" s="1"/>
  <c r="BC13" i="54"/>
  <c r="BC32" i="54" s="1"/>
  <c r="BB13" i="54"/>
  <c r="BB32" i="54" s="1"/>
  <c r="BA13" i="54"/>
  <c r="BA32" i="54" s="1"/>
  <c r="AZ13" i="54"/>
  <c r="AZ32" i="54" s="1"/>
  <c r="AY13" i="54"/>
  <c r="AY32" i="54" s="1"/>
  <c r="AX13" i="54"/>
  <c r="AX32" i="54" s="1"/>
  <c r="AW13" i="54"/>
  <c r="AW32" i="54" s="1"/>
  <c r="AV13" i="54"/>
  <c r="AU13" i="54"/>
  <c r="AT13" i="54"/>
  <c r="AS13" i="54"/>
  <c r="AR13" i="54"/>
  <c r="AQ13" i="54"/>
  <c r="AP13" i="54"/>
  <c r="AO13" i="54"/>
  <c r="AN13" i="54"/>
  <c r="AM13" i="54"/>
  <c r="AL13" i="54"/>
  <c r="AK13" i="54"/>
  <c r="AJ13" i="54"/>
  <c r="AI13" i="54"/>
  <c r="AH13" i="54"/>
  <c r="AG13" i="54"/>
  <c r="AF13" i="54"/>
  <c r="AE13" i="54"/>
  <c r="AD13" i="54"/>
  <c r="AC13" i="54"/>
  <c r="AB13" i="54"/>
  <c r="AA13" i="54"/>
  <c r="Z13" i="54"/>
  <c r="Y13" i="54"/>
  <c r="X13" i="54"/>
  <c r="W13" i="54"/>
  <c r="V13" i="54"/>
  <c r="V32" i="54" s="1"/>
  <c r="U13" i="54"/>
  <c r="T13" i="54"/>
  <c r="S13" i="54"/>
  <c r="R13" i="54"/>
  <c r="Q13" i="54"/>
  <c r="P13" i="54"/>
  <c r="O13" i="54"/>
  <c r="N13" i="54"/>
  <c r="M13" i="54"/>
  <c r="L13" i="54"/>
  <c r="K13" i="54"/>
  <c r="J13" i="54"/>
  <c r="I13" i="54"/>
  <c r="H13" i="54"/>
  <c r="G13" i="54"/>
  <c r="F13" i="54"/>
  <c r="E13" i="54"/>
  <c r="E32" i="54" s="1"/>
  <c r="C13" i="54"/>
  <c r="B13" i="54"/>
  <c r="BC12" i="54"/>
  <c r="BC31" i="54" s="1"/>
  <c r="BB12" i="54"/>
  <c r="BB31" i="54" s="1"/>
  <c r="BA12" i="54"/>
  <c r="BA31" i="54" s="1"/>
  <c r="AZ12" i="54"/>
  <c r="AZ31" i="54" s="1"/>
  <c r="AY12" i="54"/>
  <c r="AY31" i="54" s="1"/>
  <c r="AX12" i="54"/>
  <c r="AX31" i="54" s="1"/>
  <c r="AW12" i="54"/>
  <c r="AW31" i="54" s="1"/>
  <c r="AV12" i="54"/>
  <c r="AU12" i="54"/>
  <c r="AT12" i="54"/>
  <c r="AS12" i="54"/>
  <c r="AR12" i="54"/>
  <c r="AQ12" i="54"/>
  <c r="AP12" i="54"/>
  <c r="AO12" i="54"/>
  <c r="AN12" i="54"/>
  <c r="AM12" i="54"/>
  <c r="AL12" i="54"/>
  <c r="AK12" i="54"/>
  <c r="AJ12" i="54"/>
  <c r="AI12" i="54"/>
  <c r="AH12" i="54"/>
  <c r="AG12" i="54"/>
  <c r="AF12" i="54"/>
  <c r="AE12" i="54"/>
  <c r="AD12" i="54"/>
  <c r="AC12" i="54"/>
  <c r="AB12" i="54"/>
  <c r="AA12" i="54"/>
  <c r="Z12" i="54"/>
  <c r="Y12" i="54"/>
  <c r="X12" i="54"/>
  <c r="W12" i="54"/>
  <c r="V12" i="54"/>
  <c r="V31" i="54" s="1"/>
  <c r="U12" i="54"/>
  <c r="T12" i="54"/>
  <c r="S12" i="54"/>
  <c r="R12" i="54"/>
  <c r="Q12" i="54"/>
  <c r="P12" i="54"/>
  <c r="O12" i="54"/>
  <c r="N12" i="54"/>
  <c r="M12" i="54"/>
  <c r="L12" i="54"/>
  <c r="K12" i="54"/>
  <c r="J12" i="54"/>
  <c r="I12" i="54"/>
  <c r="H12" i="54"/>
  <c r="G12" i="54"/>
  <c r="F12" i="54"/>
  <c r="E12" i="54"/>
  <c r="E31" i="54" s="1"/>
  <c r="C12" i="54"/>
  <c r="B12" i="54"/>
  <c r="C56" i="54" s="1"/>
  <c r="BC11" i="54"/>
  <c r="BC30" i="54" s="1"/>
  <c r="BB11" i="54"/>
  <c r="BB30" i="54" s="1"/>
  <c r="BA11" i="54"/>
  <c r="BA30" i="54" s="1"/>
  <c r="AZ11" i="54"/>
  <c r="AZ30" i="54" s="1"/>
  <c r="AY11" i="54"/>
  <c r="AY30" i="54" s="1"/>
  <c r="AX11" i="54"/>
  <c r="AX30" i="54" s="1"/>
  <c r="AW11" i="54"/>
  <c r="AW30" i="54" s="1"/>
  <c r="AV11" i="54"/>
  <c r="AU11" i="54"/>
  <c r="AT11" i="54"/>
  <c r="AS11" i="54"/>
  <c r="AR11" i="54"/>
  <c r="AQ11" i="54"/>
  <c r="AP11" i="54"/>
  <c r="AO11" i="54"/>
  <c r="AN11" i="54"/>
  <c r="AM11" i="54"/>
  <c r="AL11" i="54"/>
  <c r="AK11" i="54"/>
  <c r="AJ11" i="54"/>
  <c r="AI11" i="54"/>
  <c r="AH11" i="54"/>
  <c r="AG11" i="54"/>
  <c r="AF11" i="54"/>
  <c r="AE11" i="54"/>
  <c r="AD11" i="54"/>
  <c r="AC11" i="54"/>
  <c r="AB11" i="54"/>
  <c r="AA11" i="54"/>
  <c r="Z11" i="54"/>
  <c r="Y11" i="54"/>
  <c r="X11" i="54"/>
  <c r="W11" i="54"/>
  <c r="V11" i="54"/>
  <c r="V30" i="54" s="1"/>
  <c r="U11" i="54"/>
  <c r="T11" i="54"/>
  <c r="S11" i="54"/>
  <c r="R11" i="54"/>
  <c r="Q11" i="54"/>
  <c r="P11" i="54"/>
  <c r="O11" i="54"/>
  <c r="N11" i="54"/>
  <c r="M11" i="54"/>
  <c r="L11" i="54"/>
  <c r="K11" i="54"/>
  <c r="J11" i="54"/>
  <c r="I11" i="54"/>
  <c r="H11" i="54"/>
  <c r="G11" i="54"/>
  <c r="F11" i="54"/>
  <c r="E11" i="54"/>
  <c r="E30" i="54" s="1"/>
  <c r="C11" i="54"/>
  <c r="B11" i="54"/>
  <c r="C55" i="54" s="1"/>
  <c r="BC10" i="54"/>
  <c r="BC29" i="54" s="1"/>
  <c r="BB10" i="54"/>
  <c r="BB29" i="54" s="1"/>
  <c r="BA10" i="54"/>
  <c r="BA29" i="54" s="1"/>
  <c r="AZ10" i="54"/>
  <c r="AZ29" i="54" s="1"/>
  <c r="AY10" i="54"/>
  <c r="AY29" i="54" s="1"/>
  <c r="AX10" i="54"/>
  <c r="AX29" i="54" s="1"/>
  <c r="AW10" i="54"/>
  <c r="AW29" i="54" s="1"/>
  <c r="AV10" i="54"/>
  <c r="AU10" i="54"/>
  <c r="AT10" i="54"/>
  <c r="AS10" i="54"/>
  <c r="AR10" i="54"/>
  <c r="AQ10" i="54"/>
  <c r="AP10" i="54"/>
  <c r="AO10" i="54"/>
  <c r="AN10" i="54"/>
  <c r="AM10" i="54"/>
  <c r="AL10" i="54"/>
  <c r="AK10" i="54"/>
  <c r="AJ10" i="54"/>
  <c r="AI10" i="54"/>
  <c r="AH10" i="54"/>
  <c r="AG10" i="54"/>
  <c r="AF10" i="54"/>
  <c r="AE10" i="54"/>
  <c r="AD10" i="54"/>
  <c r="AC10" i="54"/>
  <c r="AB10" i="54"/>
  <c r="AA10" i="54"/>
  <c r="Z10" i="54"/>
  <c r="Y10" i="54"/>
  <c r="X10" i="54"/>
  <c r="W10" i="54"/>
  <c r="V10" i="54"/>
  <c r="V29" i="54" s="1"/>
  <c r="U10" i="54"/>
  <c r="T10" i="54"/>
  <c r="S10" i="54"/>
  <c r="R10" i="54"/>
  <c r="Q10" i="54"/>
  <c r="P10" i="54"/>
  <c r="O10" i="54"/>
  <c r="N10" i="54"/>
  <c r="M10" i="54"/>
  <c r="L10" i="54"/>
  <c r="K10" i="54"/>
  <c r="J10" i="54"/>
  <c r="I10" i="54"/>
  <c r="H10" i="54"/>
  <c r="G10" i="54"/>
  <c r="F10" i="54"/>
  <c r="E10" i="54"/>
  <c r="E29" i="54" s="1"/>
  <c r="C10" i="54"/>
  <c r="B10" i="54"/>
  <c r="B29" i="54" s="1"/>
  <c r="BC9" i="54"/>
  <c r="BC28" i="54" s="1"/>
  <c r="BB9" i="54"/>
  <c r="BB28" i="54" s="1"/>
  <c r="BA9" i="54"/>
  <c r="BA28" i="54" s="1"/>
  <c r="AZ9" i="54"/>
  <c r="AZ28" i="54" s="1"/>
  <c r="AY9" i="54"/>
  <c r="AY28" i="54" s="1"/>
  <c r="AX9" i="54"/>
  <c r="AX28" i="54" s="1"/>
  <c r="AW9" i="54"/>
  <c r="AW28" i="54" s="1"/>
  <c r="AV9" i="54"/>
  <c r="AU9" i="54"/>
  <c r="AT9" i="54"/>
  <c r="AS9" i="54"/>
  <c r="AR9" i="54"/>
  <c r="AQ9" i="54"/>
  <c r="AP9" i="54"/>
  <c r="AO9" i="54"/>
  <c r="AN9" i="54"/>
  <c r="AM9" i="54"/>
  <c r="AL9" i="54"/>
  <c r="AK9" i="54"/>
  <c r="AJ9" i="54"/>
  <c r="AI9" i="54"/>
  <c r="AH9" i="54"/>
  <c r="AG9" i="54"/>
  <c r="AF9" i="54"/>
  <c r="AE9" i="54"/>
  <c r="AD9" i="54"/>
  <c r="AC9" i="54"/>
  <c r="AB9" i="54"/>
  <c r="AA9" i="54"/>
  <c r="Z9" i="54"/>
  <c r="Y9" i="54"/>
  <c r="X9" i="54"/>
  <c r="W9" i="54"/>
  <c r="V9" i="54"/>
  <c r="V28" i="54" s="1"/>
  <c r="U9" i="54"/>
  <c r="T9" i="54"/>
  <c r="S9" i="54"/>
  <c r="R9" i="54"/>
  <c r="Q9" i="54"/>
  <c r="P9" i="54"/>
  <c r="O9" i="54"/>
  <c r="N9" i="54"/>
  <c r="M9" i="54"/>
  <c r="L9" i="54"/>
  <c r="K9" i="54"/>
  <c r="J9" i="54"/>
  <c r="I9" i="54"/>
  <c r="H9" i="54"/>
  <c r="G9" i="54"/>
  <c r="F9" i="54"/>
  <c r="E9" i="54"/>
  <c r="E28" i="54" s="1"/>
  <c r="C9" i="54"/>
  <c r="B9" i="54"/>
  <c r="BC8" i="54"/>
  <c r="BC27" i="54" s="1"/>
  <c r="BB8" i="54"/>
  <c r="BB27" i="54" s="1"/>
  <c r="BA8" i="54"/>
  <c r="BA27" i="54" s="1"/>
  <c r="AZ8" i="54"/>
  <c r="AZ27" i="54" s="1"/>
  <c r="AY8" i="54"/>
  <c r="AY27" i="54" s="1"/>
  <c r="AX8" i="54"/>
  <c r="AX27" i="54" s="1"/>
  <c r="AW8" i="54"/>
  <c r="AW27" i="54" s="1"/>
  <c r="AV8" i="54"/>
  <c r="AU8" i="54"/>
  <c r="AT8" i="54"/>
  <c r="AS8" i="54"/>
  <c r="AR8" i="54"/>
  <c r="AQ8" i="54"/>
  <c r="AP8" i="54"/>
  <c r="AO8" i="54"/>
  <c r="AN8" i="54"/>
  <c r="AM8" i="54"/>
  <c r="AL8" i="54"/>
  <c r="AK8" i="54"/>
  <c r="AJ8" i="54"/>
  <c r="AI8" i="54"/>
  <c r="AH8" i="54"/>
  <c r="AG8" i="54"/>
  <c r="AF8" i="54"/>
  <c r="AE8" i="54"/>
  <c r="AD8" i="54"/>
  <c r="AC8" i="54"/>
  <c r="AB8" i="54"/>
  <c r="AA8" i="54"/>
  <c r="Z8" i="54"/>
  <c r="Y8" i="54"/>
  <c r="X8" i="54"/>
  <c r="W8" i="54"/>
  <c r="V8" i="54"/>
  <c r="V27" i="54" s="1"/>
  <c r="U8" i="54"/>
  <c r="S8" i="54"/>
  <c r="Q8" i="54"/>
  <c r="P8" i="54"/>
  <c r="N8" i="54"/>
  <c r="L8" i="54"/>
  <c r="K8" i="54"/>
  <c r="I8" i="54"/>
  <c r="F8" i="54"/>
  <c r="E8" i="54"/>
  <c r="E27" i="54" s="1"/>
  <c r="C8" i="54"/>
  <c r="B8" i="54"/>
  <c r="C52" i="54" s="1"/>
  <c r="BC7" i="54"/>
  <c r="BC26" i="54" s="1"/>
  <c r="BB7" i="54"/>
  <c r="BB26" i="54" s="1"/>
  <c r="BA7" i="54"/>
  <c r="BA26" i="54" s="1"/>
  <c r="AZ7" i="54"/>
  <c r="AZ26" i="54" s="1"/>
  <c r="AY7" i="54"/>
  <c r="AY26" i="54" s="1"/>
  <c r="AX7" i="54"/>
  <c r="AX26" i="54" s="1"/>
  <c r="AW7" i="54"/>
  <c r="AW26" i="54" s="1"/>
  <c r="AV7" i="54"/>
  <c r="AU7" i="54"/>
  <c r="AT7" i="54"/>
  <c r="AS7" i="54"/>
  <c r="AR7" i="54"/>
  <c r="AQ7" i="54"/>
  <c r="AP7" i="54"/>
  <c r="AO7" i="54"/>
  <c r="AN7" i="54"/>
  <c r="AM7" i="54"/>
  <c r="AL7" i="54"/>
  <c r="AK7" i="54"/>
  <c r="AJ7" i="54"/>
  <c r="AI7" i="54"/>
  <c r="AH7" i="54"/>
  <c r="AG7" i="54"/>
  <c r="AF7" i="54"/>
  <c r="AE7" i="54"/>
  <c r="AD7" i="54"/>
  <c r="AC7" i="54"/>
  <c r="AB7" i="54"/>
  <c r="AA7" i="54"/>
  <c r="Z7" i="54"/>
  <c r="Y7" i="54"/>
  <c r="X7" i="54"/>
  <c r="W7" i="54"/>
  <c r="V7" i="54"/>
  <c r="V26" i="54" s="1"/>
  <c r="U7" i="54"/>
  <c r="S7" i="54"/>
  <c r="Q7" i="54"/>
  <c r="P7" i="54"/>
  <c r="N7" i="54"/>
  <c r="L7" i="54"/>
  <c r="K7" i="54"/>
  <c r="I7" i="54"/>
  <c r="F7" i="54"/>
  <c r="E7" i="54"/>
  <c r="E26" i="54" s="1"/>
  <c r="C7" i="54"/>
  <c r="B7" i="54"/>
  <c r="C51" i="54" s="1"/>
  <c r="BC6" i="54"/>
  <c r="BC25" i="54" s="1"/>
  <c r="BB6" i="54"/>
  <c r="BB25" i="54" s="1"/>
  <c r="BA6" i="54"/>
  <c r="BA25" i="54" s="1"/>
  <c r="AZ6" i="54"/>
  <c r="AZ25" i="54" s="1"/>
  <c r="AY6" i="54"/>
  <c r="AY25" i="54" s="1"/>
  <c r="AX6" i="54"/>
  <c r="AX25" i="54" s="1"/>
  <c r="AW6" i="54"/>
  <c r="AW25" i="54" s="1"/>
  <c r="AV6" i="54"/>
  <c r="AU6" i="54"/>
  <c r="AT6" i="54"/>
  <c r="AS6" i="54"/>
  <c r="AR6" i="54"/>
  <c r="AQ6" i="54"/>
  <c r="AP6" i="54"/>
  <c r="AO6" i="54"/>
  <c r="AN6" i="54"/>
  <c r="AM6" i="54"/>
  <c r="AL6" i="54"/>
  <c r="AK6" i="54"/>
  <c r="AJ6" i="54"/>
  <c r="AI6" i="54"/>
  <c r="AH6" i="54"/>
  <c r="AG6" i="54"/>
  <c r="AF6" i="54"/>
  <c r="AE6" i="54"/>
  <c r="AD6" i="54"/>
  <c r="AC6" i="54"/>
  <c r="AB6" i="54"/>
  <c r="AA6" i="54"/>
  <c r="Z6" i="54"/>
  <c r="Y6" i="54"/>
  <c r="X6" i="54"/>
  <c r="W6" i="54"/>
  <c r="V6" i="54"/>
  <c r="V25" i="54" s="1"/>
  <c r="U6" i="54"/>
  <c r="S6" i="54"/>
  <c r="Q6" i="54"/>
  <c r="P6" i="54"/>
  <c r="N6" i="54"/>
  <c r="L6" i="54"/>
  <c r="K6" i="54"/>
  <c r="I6" i="54"/>
  <c r="F6" i="54"/>
  <c r="E6" i="54"/>
  <c r="E25" i="54" s="1"/>
  <c r="C6" i="54"/>
  <c r="B6" i="54"/>
  <c r="C50" i="54" s="1"/>
  <c r="AQ45" i="53"/>
  <c r="C42" i="53"/>
  <c r="A40" i="53"/>
  <c r="A39" i="53"/>
  <c r="A38" i="53"/>
  <c r="A37" i="53"/>
  <c r="A36" i="53"/>
  <c r="A35" i="53"/>
  <c r="A34" i="53"/>
  <c r="A33" i="53"/>
  <c r="A32" i="53"/>
  <c r="A31" i="53"/>
  <c r="A30" i="53"/>
  <c r="B23" i="53"/>
  <c r="AS21" i="53"/>
  <c r="AR21" i="53"/>
  <c r="AQ21" i="53"/>
  <c r="AP21" i="53"/>
  <c r="AO21" i="53"/>
  <c r="AN21" i="53"/>
  <c r="AM21" i="53"/>
  <c r="AL21" i="53"/>
  <c r="AK21" i="53"/>
  <c r="AJ21" i="53"/>
  <c r="AI21" i="53"/>
  <c r="AH21" i="53"/>
  <c r="AG21" i="53"/>
  <c r="AF21" i="53"/>
  <c r="AE21" i="53"/>
  <c r="AD21" i="53"/>
  <c r="AC21" i="53"/>
  <c r="AB21" i="53"/>
  <c r="AA21" i="53"/>
  <c r="Z21" i="53"/>
  <c r="Y21" i="53"/>
  <c r="X21" i="53"/>
  <c r="W21" i="53"/>
  <c r="V21" i="53"/>
  <c r="U21" i="53"/>
  <c r="T21" i="53"/>
  <c r="S21" i="53"/>
  <c r="R21" i="53"/>
  <c r="Q21" i="53"/>
  <c r="P21" i="53"/>
  <c r="O21" i="53"/>
  <c r="N21" i="53"/>
  <c r="M21" i="53"/>
  <c r="L21" i="53"/>
  <c r="K21" i="53"/>
  <c r="J21" i="53"/>
  <c r="I21" i="53"/>
  <c r="H21" i="53"/>
  <c r="G21" i="53"/>
  <c r="F21" i="53"/>
  <c r="E21" i="53"/>
  <c r="E40" i="53" s="1"/>
  <c r="C21" i="53"/>
  <c r="AT40" i="53" s="1"/>
  <c r="B21" i="53"/>
  <c r="B40" i="53" s="1"/>
  <c r="AS20" i="53"/>
  <c r="AR20" i="53"/>
  <c r="AQ20" i="53"/>
  <c r="AP20" i="53"/>
  <c r="AO20" i="53"/>
  <c r="AN20" i="53"/>
  <c r="AM20" i="53"/>
  <c r="AL20" i="53"/>
  <c r="AK20" i="53"/>
  <c r="AJ20" i="53"/>
  <c r="AI20" i="53"/>
  <c r="AH20" i="53"/>
  <c r="AG20" i="53"/>
  <c r="AF20" i="53"/>
  <c r="AE20" i="53"/>
  <c r="AD20" i="53"/>
  <c r="AC20" i="53"/>
  <c r="AB20" i="53"/>
  <c r="AA20" i="53"/>
  <c r="Z20" i="53"/>
  <c r="Y20" i="53"/>
  <c r="X20" i="53"/>
  <c r="W20" i="53"/>
  <c r="V20" i="53"/>
  <c r="U20" i="53"/>
  <c r="T20" i="53"/>
  <c r="S20" i="53"/>
  <c r="R20" i="53"/>
  <c r="Q20" i="53"/>
  <c r="P20" i="53"/>
  <c r="O20" i="53"/>
  <c r="N20" i="53"/>
  <c r="M20" i="53"/>
  <c r="L20" i="53"/>
  <c r="K20" i="53"/>
  <c r="J20" i="53"/>
  <c r="I20" i="53"/>
  <c r="H20" i="53"/>
  <c r="G20" i="53"/>
  <c r="F20" i="53"/>
  <c r="E20" i="53"/>
  <c r="E39" i="53" s="1"/>
  <c r="C20" i="53"/>
  <c r="AT39" i="53" s="1"/>
  <c r="B20" i="53"/>
  <c r="B39" i="53" s="1"/>
  <c r="AS19" i="53"/>
  <c r="AR19" i="53"/>
  <c r="AQ19" i="53"/>
  <c r="AP19" i="53"/>
  <c r="AO19" i="53"/>
  <c r="AN19" i="53"/>
  <c r="AM19" i="53"/>
  <c r="AL19" i="53"/>
  <c r="AK19" i="53"/>
  <c r="AJ19" i="53"/>
  <c r="AI19" i="53"/>
  <c r="AH19" i="53"/>
  <c r="AG19" i="53"/>
  <c r="AF19" i="53"/>
  <c r="AE19" i="53"/>
  <c r="AD19" i="53"/>
  <c r="AC19" i="53"/>
  <c r="AB19" i="53"/>
  <c r="AA19" i="53"/>
  <c r="Z19" i="53"/>
  <c r="Y19" i="53"/>
  <c r="X19" i="53"/>
  <c r="W19" i="53"/>
  <c r="V19" i="53"/>
  <c r="U19" i="53"/>
  <c r="T19" i="53"/>
  <c r="S19" i="53"/>
  <c r="R19" i="53"/>
  <c r="Q19" i="53"/>
  <c r="P19" i="53"/>
  <c r="O19" i="53"/>
  <c r="N19" i="53"/>
  <c r="M19" i="53"/>
  <c r="L19" i="53"/>
  <c r="K19" i="53"/>
  <c r="J19" i="53"/>
  <c r="I19" i="53"/>
  <c r="H19" i="53"/>
  <c r="G19" i="53"/>
  <c r="F19" i="53"/>
  <c r="E19" i="53"/>
  <c r="E38" i="53" s="1"/>
  <c r="C19" i="53"/>
  <c r="AT38" i="53" s="1"/>
  <c r="B19" i="53"/>
  <c r="B38" i="53" s="1"/>
  <c r="AS18" i="53"/>
  <c r="AR18" i="53"/>
  <c r="AQ18" i="53"/>
  <c r="AP18" i="53"/>
  <c r="AO18" i="53"/>
  <c r="AN18" i="53"/>
  <c r="AM18" i="53"/>
  <c r="AL18" i="53"/>
  <c r="AK18" i="53"/>
  <c r="AJ18" i="53"/>
  <c r="AI18" i="53"/>
  <c r="AH18" i="53"/>
  <c r="AG18" i="53"/>
  <c r="AF18" i="53"/>
  <c r="AE18" i="53"/>
  <c r="AD18" i="53"/>
  <c r="AC18" i="53"/>
  <c r="AB18" i="53"/>
  <c r="AA18" i="53"/>
  <c r="Z18" i="53"/>
  <c r="Y18" i="53"/>
  <c r="X18" i="53"/>
  <c r="W18" i="53"/>
  <c r="V18" i="53"/>
  <c r="U18" i="53"/>
  <c r="T18" i="53"/>
  <c r="S18" i="53"/>
  <c r="R18" i="53"/>
  <c r="Q18" i="53"/>
  <c r="P18" i="53"/>
  <c r="O18" i="53"/>
  <c r="N18" i="53"/>
  <c r="M18" i="53"/>
  <c r="L18" i="53"/>
  <c r="K18" i="53"/>
  <c r="J18" i="53"/>
  <c r="I18" i="53"/>
  <c r="H18" i="53"/>
  <c r="G18" i="53"/>
  <c r="F18" i="53"/>
  <c r="E18" i="53"/>
  <c r="E37" i="53" s="1"/>
  <c r="C18" i="53"/>
  <c r="AT37" i="53" s="1"/>
  <c r="B18" i="53"/>
  <c r="B37" i="53" s="1"/>
  <c r="AS17" i="53"/>
  <c r="AR17" i="53"/>
  <c r="AQ17" i="53"/>
  <c r="AP17" i="53"/>
  <c r="AO17" i="53"/>
  <c r="AN17" i="53"/>
  <c r="AM17" i="53"/>
  <c r="AL17" i="53"/>
  <c r="AK17" i="53"/>
  <c r="AJ17" i="53"/>
  <c r="AI17" i="53"/>
  <c r="AH17" i="53"/>
  <c r="AG17" i="53"/>
  <c r="AF17" i="53"/>
  <c r="AE17" i="53"/>
  <c r="AD17" i="53"/>
  <c r="AC17" i="53"/>
  <c r="AB17" i="53"/>
  <c r="AA17" i="53"/>
  <c r="Z17" i="53"/>
  <c r="Y17" i="53"/>
  <c r="X17" i="53"/>
  <c r="W17" i="53"/>
  <c r="V17" i="53"/>
  <c r="U17" i="53"/>
  <c r="T17" i="53"/>
  <c r="S17" i="53"/>
  <c r="R17" i="53"/>
  <c r="Q17" i="53"/>
  <c r="P17" i="53"/>
  <c r="O17" i="53"/>
  <c r="N17" i="53"/>
  <c r="M17" i="53"/>
  <c r="L17" i="53"/>
  <c r="K17" i="53"/>
  <c r="J17" i="53"/>
  <c r="I17" i="53"/>
  <c r="H17" i="53"/>
  <c r="G17" i="53"/>
  <c r="F17" i="53"/>
  <c r="E17" i="53"/>
  <c r="E36" i="53" s="1"/>
  <c r="C17" i="53"/>
  <c r="AT36" i="53" s="1"/>
  <c r="B17" i="53"/>
  <c r="B36" i="53" s="1"/>
  <c r="AS16" i="53"/>
  <c r="AR16" i="53"/>
  <c r="AQ16" i="53"/>
  <c r="AP16" i="53"/>
  <c r="AO16" i="53"/>
  <c r="AN16" i="53"/>
  <c r="AM16" i="53"/>
  <c r="AL16" i="53"/>
  <c r="AK16" i="53"/>
  <c r="AJ16" i="53"/>
  <c r="AI16" i="53"/>
  <c r="AH16" i="53"/>
  <c r="AG16" i="53"/>
  <c r="AF16" i="53"/>
  <c r="AE16" i="53"/>
  <c r="AD16" i="53"/>
  <c r="AC16" i="53"/>
  <c r="AB16" i="53"/>
  <c r="AA16" i="53"/>
  <c r="Z16" i="53"/>
  <c r="Y16" i="53"/>
  <c r="X16" i="53"/>
  <c r="W16" i="53"/>
  <c r="V16" i="53"/>
  <c r="U16" i="53"/>
  <c r="T16" i="53"/>
  <c r="S16" i="53"/>
  <c r="R16" i="53"/>
  <c r="Q16" i="53"/>
  <c r="P16" i="53"/>
  <c r="O16" i="53"/>
  <c r="N16" i="53"/>
  <c r="M16" i="53"/>
  <c r="L16" i="53"/>
  <c r="K16" i="53"/>
  <c r="J16" i="53"/>
  <c r="I16" i="53"/>
  <c r="H16" i="53"/>
  <c r="G16" i="53"/>
  <c r="F16" i="53"/>
  <c r="E16" i="53"/>
  <c r="E35" i="53" s="1"/>
  <c r="C16" i="53"/>
  <c r="AT35" i="53" s="1"/>
  <c r="B16" i="53"/>
  <c r="B35" i="53" s="1"/>
  <c r="AS15" i="53"/>
  <c r="AR15" i="53"/>
  <c r="AQ15" i="53"/>
  <c r="AP15" i="53"/>
  <c r="AO15" i="53"/>
  <c r="AN15" i="53"/>
  <c r="AM15" i="53"/>
  <c r="AL15" i="53"/>
  <c r="AK15" i="53"/>
  <c r="AJ15" i="53"/>
  <c r="AI15" i="53"/>
  <c r="AH15" i="53"/>
  <c r="AG15" i="53"/>
  <c r="AF15" i="53"/>
  <c r="AE15" i="53"/>
  <c r="AD15" i="53"/>
  <c r="AC15" i="53"/>
  <c r="AB15" i="53"/>
  <c r="AA15" i="53"/>
  <c r="Z15" i="53"/>
  <c r="Y15" i="53"/>
  <c r="X15" i="53"/>
  <c r="W15" i="53"/>
  <c r="V15" i="53"/>
  <c r="U15" i="53"/>
  <c r="T15" i="53"/>
  <c r="S15" i="53"/>
  <c r="R15" i="53"/>
  <c r="Q15" i="53"/>
  <c r="P15" i="53"/>
  <c r="O15" i="53"/>
  <c r="N15" i="53"/>
  <c r="M15" i="53"/>
  <c r="L15" i="53"/>
  <c r="K15" i="53"/>
  <c r="J15" i="53"/>
  <c r="I15" i="53"/>
  <c r="H15" i="53"/>
  <c r="G15" i="53"/>
  <c r="F15" i="53"/>
  <c r="E15" i="53"/>
  <c r="E34" i="53" s="1"/>
  <c r="C15" i="53"/>
  <c r="AT34" i="53" s="1"/>
  <c r="B15" i="53"/>
  <c r="B34" i="53" s="1"/>
  <c r="AS14" i="53"/>
  <c r="AR14" i="53"/>
  <c r="AQ14" i="53"/>
  <c r="AP14" i="53"/>
  <c r="AO14" i="53"/>
  <c r="AN14" i="53"/>
  <c r="AM14" i="53"/>
  <c r="AL14" i="53"/>
  <c r="AK14" i="53"/>
  <c r="AJ14" i="53"/>
  <c r="AI14" i="53"/>
  <c r="AH14" i="53"/>
  <c r="AG14" i="53"/>
  <c r="AF14" i="53"/>
  <c r="AE14" i="53"/>
  <c r="AD14" i="53"/>
  <c r="AC14" i="53"/>
  <c r="AB14" i="53"/>
  <c r="AA14" i="53"/>
  <c r="Z14" i="53"/>
  <c r="Y14" i="53"/>
  <c r="X14" i="53"/>
  <c r="W14" i="53"/>
  <c r="V14" i="53"/>
  <c r="U14" i="53"/>
  <c r="T14" i="53"/>
  <c r="S14" i="53"/>
  <c r="R14" i="53"/>
  <c r="Q14" i="53"/>
  <c r="P14" i="53"/>
  <c r="O14" i="53"/>
  <c r="N14" i="53"/>
  <c r="M14" i="53"/>
  <c r="L14" i="53"/>
  <c r="K14" i="53"/>
  <c r="J14" i="53"/>
  <c r="I14" i="53"/>
  <c r="H14" i="53"/>
  <c r="G14" i="53"/>
  <c r="F14" i="53"/>
  <c r="E14" i="53"/>
  <c r="E33" i="53" s="1"/>
  <c r="C14" i="53"/>
  <c r="AT33" i="53" s="1"/>
  <c r="B14" i="53"/>
  <c r="B33" i="53" s="1"/>
  <c r="AS13" i="53"/>
  <c r="AR13" i="53"/>
  <c r="AQ13" i="53"/>
  <c r="AP13" i="53"/>
  <c r="AO13" i="53"/>
  <c r="AN13" i="53"/>
  <c r="AM13" i="53"/>
  <c r="AL13" i="53"/>
  <c r="AK13" i="53"/>
  <c r="AJ13" i="53"/>
  <c r="AI13" i="53"/>
  <c r="AH13" i="53"/>
  <c r="AG13" i="53"/>
  <c r="AF13" i="53"/>
  <c r="AE13" i="53"/>
  <c r="AD13" i="53"/>
  <c r="AC13" i="53"/>
  <c r="AB13" i="53"/>
  <c r="AA13" i="53"/>
  <c r="Z13" i="53"/>
  <c r="Y13" i="53"/>
  <c r="X13" i="53"/>
  <c r="W13" i="53"/>
  <c r="V13" i="53"/>
  <c r="U13" i="53"/>
  <c r="T13" i="53"/>
  <c r="S13" i="53"/>
  <c r="R13" i="53"/>
  <c r="Q13" i="53"/>
  <c r="P13" i="53"/>
  <c r="O13" i="53"/>
  <c r="N13" i="53"/>
  <c r="M13" i="53"/>
  <c r="L13" i="53"/>
  <c r="K13" i="53"/>
  <c r="J13" i="53"/>
  <c r="I13" i="53"/>
  <c r="H13" i="53"/>
  <c r="G13" i="53"/>
  <c r="F13" i="53"/>
  <c r="E13" i="53"/>
  <c r="E32" i="53" s="1"/>
  <c r="C13" i="53"/>
  <c r="AT32" i="53" s="1"/>
  <c r="B13" i="53"/>
  <c r="B32" i="53" s="1"/>
  <c r="AS12" i="53"/>
  <c r="AR12" i="53"/>
  <c r="AQ12" i="53"/>
  <c r="AP12" i="53"/>
  <c r="AO12" i="53"/>
  <c r="AN12" i="53"/>
  <c r="AM12" i="53"/>
  <c r="AL12" i="53"/>
  <c r="AK12" i="53"/>
  <c r="AJ12" i="53"/>
  <c r="AI12" i="53"/>
  <c r="AH12" i="53"/>
  <c r="AG12" i="53"/>
  <c r="AF12" i="53"/>
  <c r="AE12" i="53"/>
  <c r="AD12" i="53"/>
  <c r="AC12" i="53"/>
  <c r="AB12" i="53"/>
  <c r="AA12" i="53"/>
  <c r="Z12" i="53"/>
  <c r="Y12" i="53"/>
  <c r="X12" i="53"/>
  <c r="W12" i="53"/>
  <c r="V12" i="53"/>
  <c r="U12" i="53"/>
  <c r="T12" i="53"/>
  <c r="S12" i="53"/>
  <c r="R12" i="53"/>
  <c r="Q12" i="53"/>
  <c r="P12" i="53"/>
  <c r="O12" i="53"/>
  <c r="N12" i="53"/>
  <c r="M12" i="53"/>
  <c r="L12" i="53"/>
  <c r="K12" i="53"/>
  <c r="J12" i="53"/>
  <c r="I12" i="53"/>
  <c r="H12" i="53"/>
  <c r="G12" i="53"/>
  <c r="F12" i="53"/>
  <c r="E12" i="53"/>
  <c r="E31" i="53" s="1"/>
  <c r="C12" i="53"/>
  <c r="AT31" i="53" s="1"/>
  <c r="B12" i="53"/>
  <c r="B31" i="53" s="1"/>
  <c r="AS11" i="53"/>
  <c r="AR11" i="53"/>
  <c r="AQ11" i="53"/>
  <c r="AP11" i="53"/>
  <c r="AO11" i="53"/>
  <c r="AN11" i="53"/>
  <c r="AM11" i="53"/>
  <c r="AL11" i="53"/>
  <c r="AK11" i="53"/>
  <c r="AJ11" i="53"/>
  <c r="AI11" i="53"/>
  <c r="AH11" i="53"/>
  <c r="AG11" i="53"/>
  <c r="AF11" i="53"/>
  <c r="AE11" i="53"/>
  <c r="AD11" i="53"/>
  <c r="AC11" i="53"/>
  <c r="AB11" i="53"/>
  <c r="AA11" i="53"/>
  <c r="Z11" i="53"/>
  <c r="Y11" i="53"/>
  <c r="X11" i="53"/>
  <c r="W11" i="53"/>
  <c r="V11" i="53"/>
  <c r="U11" i="53"/>
  <c r="T11" i="53"/>
  <c r="S11" i="53"/>
  <c r="R11" i="53"/>
  <c r="Q11" i="53"/>
  <c r="P11" i="53"/>
  <c r="O11" i="53"/>
  <c r="N11" i="53"/>
  <c r="M11" i="53"/>
  <c r="L11" i="53"/>
  <c r="K11" i="53"/>
  <c r="J11" i="53"/>
  <c r="I11" i="53"/>
  <c r="H11" i="53"/>
  <c r="G11" i="53"/>
  <c r="F11" i="53"/>
  <c r="E11" i="53"/>
  <c r="E30" i="53" s="1"/>
  <c r="C11" i="53"/>
  <c r="AT30" i="53" s="1"/>
  <c r="B11" i="53"/>
  <c r="B30" i="53" s="1"/>
  <c r="AS10" i="53"/>
  <c r="AR10" i="53"/>
  <c r="AQ10" i="53"/>
  <c r="AP10" i="53"/>
  <c r="AO10" i="53"/>
  <c r="AN10" i="53"/>
  <c r="AM10" i="53"/>
  <c r="AL10" i="53"/>
  <c r="AK10" i="53"/>
  <c r="AJ10" i="53"/>
  <c r="AI10" i="53"/>
  <c r="AH10" i="53"/>
  <c r="AG10" i="53"/>
  <c r="AF10" i="53"/>
  <c r="AE10" i="53"/>
  <c r="AD10" i="53"/>
  <c r="AC10" i="53"/>
  <c r="AB10" i="53"/>
  <c r="AA10" i="53"/>
  <c r="Z10" i="53"/>
  <c r="Y10" i="53"/>
  <c r="X10" i="53"/>
  <c r="W10" i="53"/>
  <c r="V10" i="53"/>
  <c r="U10" i="53"/>
  <c r="T10" i="53"/>
  <c r="S10" i="53"/>
  <c r="R10" i="53"/>
  <c r="Q10" i="53"/>
  <c r="P10" i="53"/>
  <c r="O10" i="53"/>
  <c r="N10" i="53"/>
  <c r="L10" i="53"/>
  <c r="K10" i="53"/>
  <c r="J10" i="53"/>
  <c r="I10" i="53"/>
  <c r="H10" i="53"/>
  <c r="G10" i="53"/>
  <c r="F10" i="53"/>
  <c r="E10" i="53"/>
  <c r="E29" i="53" s="1"/>
  <c r="C10" i="53"/>
  <c r="AT29" i="53" s="1"/>
  <c r="B10" i="53"/>
  <c r="B29" i="53" s="1"/>
  <c r="AS9" i="53"/>
  <c r="AR9" i="53"/>
  <c r="AQ9" i="53"/>
  <c r="AP9" i="53"/>
  <c r="AO9" i="53"/>
  <c r="AN9" i="53"/>
  <c r="AM9" i="53"/>
  <c r="AL9" i="53"/>
  <c r="AK9" i="53"/>
  <c r="AJ9" i="53"/>
  <c r="AI9" i="53"/>
  <c r="AH9" i="53"/>
  <c r="AG9" i="53"/>
  <c r="AF9" i="53"/>
  <c r="AE9" i="53"/>
  <c r="AD9" i="53"/>
  <c r="AC9" i="53"/>
  <c r="AB9" i="53"/>
  <c r="AA9" i="53"/>
  <c r="Z9" i="53"/>
  <c r="Y9" i="53"/>
  <c r="X9" i="53"/>
  <c r="W9" i="53"/>
  <c r="V9" i="53"/>
  <c r="U9" i="53"/>
  <c r="T9" i="53"/>
  <c r="S9" i="53"/>
  <c r="R9" i="53"/>
  <c r="Q9" i="53"/>
  <c r="P9" i="53"/>
  <c r="O9" i="53"/>
  <c r="N9" i="53"/>
  <c r="M9" i="53"/>
  <c r="L9" i="53"/>
  <c r="K9" i="53"/>
  <c r="J9" i="53"/>
  <c r="I9" i="53"/>
  <c r="H9" i="53"/>
  <c r="G9" i="53"/>
  <c r="F9" i="53"/>
  <c r="E9" i="53"/>
  <c r="E28" i="53" s="1"/>
  <c r="C9" i="53"/>
  <c r="AT28" i="53" s="1"/>
  <c r="B9" i="53"/>
  <c r="B28" i="53" s="1"/>
  <c r="AS8" i="53"/>
  <c r="AR8" i="53"/>
  <c r="AQ8" i="53"/>
  <c r="AP8" i="53"/>
  <c r="AO8" i="53"/>
  <c r="AN8" i="53"/>
  <c r="AM8" i="53"/>
  <c r="AL8" i="53"/>
  <c r="AK8" i="53"/>
  <c r="AJ8" i="53"/>
  <c r="AI8" i="53"/>
  <c r="AH8" i="53"/>
  <c r="AG8" i="53"/>
  <c r="AF8" i="53"/>
  <c r="AE8" i="53"/>
  <c r="AD8" i="53"/>
  <c r="AC8" i="53"/>
  <c r="AB8" i="53"/>
  <c r="AA8" i="53"/>
  <c r="Z8" i="53"/>
  <c r="Y8" i="53"/>
  <c r="X8" i="53"/>
  <c r="W8" i="53"/>
  <c r="V8" i="53"/>
  <c r="U8" i="53"/>
  <c r="S8" i="53"/>
  <c r="Q8" i="53"/>
  <c r="P8" i="53"/>
  <c r="N8" i="53"/>
  <c r="L8" i="53"/>
  <c r="K8" i="53"/>
  <c r="I8" i="53"/>
  <c r="F8" i="53"/>
  <c r="E8" i="53"/>
  <c r="E27" i="53" s="1"/>
  <c r="C8" i="53"/>
  <c r="AT27" i="53" s="1"/>
  <c r="B8" i="53"/>
  <c r="B27" i="53" s="1"/>
  <c r="AS7" i="53"/>
  <c r="AR7" i="53"/>
  <c r="AQ7" i="53"/>
  <c r="AP7" i="53"/>
  <c r="AO7" i="53"/>
  <c r="AN7" i="53"/>
  <c r="AM7" i="53"/>
  <c r="AL7" i="53"/>
  <c r="AK7" i="53"/>
  <c r="AJ7" i="53"/>
  <c r="AI7" i="53"/>
  <c r="AH7" i="53"/>
  <c r="AG7" i="53"/>
  <c r="AF7" i="53"/>
  <c r="AE7" i="53"/>
  <c r="AD7" i="53"/>
  <c r="AC7" i="53"/>
  <c r="AB7" i="53"/>
  <c r="AA7" i="53"/>
  <c r="Z7" i="53"/>
  <c r="Y7" i="53"/>
  <c r="X7" i="53"/>
  <c r="W7" i="53"/>
  <c r="V7" i="53"/>
  <c r="U7" i="53"/>
  <c r="S7" i="53"/>
  <c r="Q7" i="53"/>
  <c r="P7" i="53"/>
  <c r="N7" i="53"/>
  <c r="L7" i="53"/>
  <c r="K7" i="53"/>
  <c r="I7" i="53"/>
  <c r="E7" i="53"/>
  <c r="E26" i="53" s="1"/>
  <c r="C7" i="53"/>
  <c r="AT26" i="53" s="1"/>
  <c r="B7" i="53"/>
  <c r="B26" i="53" s="1"/>
  <c r="AS6" i="53"/>
  <c r="AR6" i="53"/>
  <c r="AQ6" i="53"/>
  <c r="AP6" i="53"/>
  <c r="AO6" i="53"/>
  <c r="AN6" i="53"/>
  <c r="AM6" i="53"/>
  <c r="AL6" i="53"/>
  <c r="AK6" i="53"/>
  <c r="AJ6" i="53"/>
  <c r="AI6" i="53"/>
  <c r="AH6" i="53"/>
  <c r="AG6" i="53"/>
  <c r="AF6" i="53"/>
  <c r="AE6" i="53"/>
  <c r="AD6" i="53"/>
  <c r="AC6" i="53"/>
  <c r="AB6" i="53"/>
  <c r="AA6" i="53"/>
  <c r="Z6" i="53"/>
  <c r="Y6" i="53"/>
  <c r="X6" i="53"/>
  <c r="W6" i="53"/>
  <c r="V6" i="53"/>
  <c r="U6" i="53"/>
  <c r="T6" i="53"/>
  <c r="S6" i="53"/>
  <c r="R6" i="53"/>
  <c r="Q6" i="53"/>
  <c r="P6" i="53"/>
  <c r="O6" i="53"/>
  <c r="N6" i="53"/>
  <c r="M6" i="53"/>
  <c r="L6" i="53"/>
  <c r="K6" i="53"/>
  <c r="J6" i="53"/>
  <c r="I6" i="53"/>
  <c r="H6" i="53"/>
  <c r="G6" i="53"/>
  <c r="F6" i="53"/>
  <c r="E6" i="53"/>
  <c r="E25" i="53" s="1"/>
  <c r="C6" i="53"/>
  <c r="AT25" i="53" s="1"/>
  <c r="B6" i="53"/>
  <c r="B25" i="53" s="1"/>
  <c r="T97" i="12"/>
  <c r="R97" i="12"/>
  <c r="M97" i="12"/>
  <c r="H97" i="12"/>
  <c r="G97" i="12" s="1"/>
  <c r="D60" i="54" l="1"/>
  <c r="U37" i="54"/>
  <c r="AG28" i="54"/>
  <c r="AC31" i="53"/>
  <c r="L26" i="53"/>
  <c r="K29" i="53"/>
  <c r="AI39" i="53"/>
  <c r="AM25" i="54"/>
  <c r="T38" i="53"/>
  <c r="AN30" i="54"/>
  <c r="AN34" i="54"/>
  <c r="AD27" i="53"/>
  <c r="B26" i="54"/>
  <c r="AA37" i="54"/>
  <c r="Z29" i="53"/>
  <c r="AP33" i="53"/>
  <c r="B34" i="54"/>
  <c r="AC40" i="54"/>
  <c r="AA40" i="54"/>
  <c r="U40" i="54"/>
  <c r="AK40" i="54"/>
  <c r="G40" i="54"/>
  <c r="Z33" i="53"/>
  <c r="AM40" i="54"/>
  <c r="Y34" i="54"/>
  <c r="AI38" i="54"/>
  <c r="AP29" i="53"/>
  <c r="M34" i="54"/>
  <c r="AI34" i="54"/>
  <c r="AF38" i="53"/>
  <c r="O34" i="54"/>
  <c r="AJ34" i="54"/>
  <c r="AQ26" i="53"/>
  <c r="G32" i="53"/>
  <c r="O32" i="53"/>
  <c r="AM32" i="53"/>
  <c r="R40" i="54"/>
  <c r="B25" i="54"/>
  <c r="X34" i="54"/>
  <c r="AS34" i="54"/>
  <c r="Y38" i="54"/>
  <c r="AQ32" i="54"/>
  <c r="U32" i="54"/>
  <c r="AR32" i="54"/>
  <c r="AG32" i="54"/>
  <c r="W32" i="54"/>
  <c r="AF32" i="54"/>
  <c r="D50" i="54"/>
  <c r="F50" i="54" s="1"/>
  <c r="B27" i="54"/>
  <c r="AX42" i="54"/>
  <c r="C54" i="54"/>
  <c r="B30" i="54"/>
  <c r="B31" i="54"/>
  <c r="AS30" i="54"/>
  <c r="D52" i="54"/>
  <c r="F52" i="54" s="1"/>
  <c r="D55" i="54"/>
  <c r="E55" i="54" s="1"/>
  <c r="X25" i="54"/>
  <c r="D58" i="54"/>
  <c r="F58" i="54" s="1"/>
  <c r="AN25" i="54"/>
  <c r="AQ28" i="54"/>
  <c r="AE25" i="54"/>
  <c r="U28" i="54"/>
  <c r="AR28" i="54"/>
  <c r="M30" i="54"/>
  <c r="D51" i="54"/>
  <c r="D54" i="54"/>
  <c r="E54" i="54" s="1"/>
  <c r="D56" i="54"/>
  <c r="E56" i="54" s="1"/>
  <c r="D59" i="54"/>
  <c r="E59" i="54" s="1"/>
  <c r="P25" i="54"/>
  <c r="AF25" i="54"/>
  <c r="AF28" i="54"/>
  <c r="X30" i="54"/>
  <c r="D53" i="54"/>
  <c r="E53" i="54" s="1"/>
  <c r="W28" i="54"/>
  <c r="W25" i="54"/>
  <c r="AI30" i="54"/>
  <c r="AR29" i="54"/>
  <c r="AN29" i="54"/>
  <c r="AJ29" i="54"/>
  <c r="AF29" i="54"/>
  <c r="AB29" i="54"/>
  <c r="X29" i="54"/>
  <c r="T29" i="54"/>
  <c r="P29" i="54"/>
  <c r="H29" i="54"/>
  <c r="AO29" i="54"/>
  <c r="AI29" i="54"/>
  <c r="AD29" i="54"/>
  <c r="Y29" i="54"/>
  <c r="S29" i="54"/>
  <c r="N29" i="54"/>
  <c r="I29" i="54"/>
  <c r="AS29" i="54"/>
  <c r="AM29" i="54"/>
  <c r="AH29" i="54"/>
  <c r="AC29" i="54"/>
  <c r="W29" i="54"/>
  <c r="R29" i="54"/>
  <c r="M29" i="54"/>
  <c r="G29" i="54"/>
  <c r="AK29" i="54"/>
  <c r="Z29" i="54"/>
  <c r="O29" i="54"/>
  <c r="AQ29" i="54"/>
  <c r="AG29" i="54"/>
  <c r="AP29" i="54"/>
  <c r="AE29" i="54"/>
  <c r="U29" i="54"/>
  <c r="J29" i="54"/>
  <c r="AL29" i="54"/>
  <c r="AA29" i="54"/>
  <c r="Q29" i="54"/>
  <c r="F29" i="54"/>
  <c r="AU29" i="54" s="1"/>
  <c r="AR33" i="54"/>
  <c r="AN33" i="54"/>
  <c r="AJ33" i="54"/>
  <c r="AF33" i="54"/>
  <c r="AB33" i="54"/>
  <c r="X33" i="54"/>
  <c r="T33" i="54"/>
  <c r="P33" i="54"/>
  <c r="H33" i="54"/>
  <c r="AO33" i="54"/>
  <c r="AI33" i="54"/>
  <c r="AD33" i="54"/>
  <c r="Y33" i="54"/>
  <c r="S33" i="54"/>
  <c r="N33" i="54"/>
  <c r="I33" i="54"/>
  <c r="AS33" i="54"/>
  <c r="AM33" i="54"/>
  <c r="AH33" i="54"/>
  <c r="AC33" i="54"/>
  <c r="W33" i="54"/>
  <c r="R33" i="54"/>
  <c r="M33" i="54"/>
  <c r="G33" i="54"/>
  <c r="AK33" i="54"/>
  <c r="Z33" i="54"/>
  <c r="O33" i="54"/>
  <c r="AQ33" i="54"/>
  <c r="AG33" i="54"/>
  <c r="AP33" i="54"/>
  <c r="AE33" i="54"/>
  <c r="U33" i="54"/>
  <c r="J33" i="54"/>
  <c r="AL33" i="54"/>
  <c r="AA33" i="54"/>
  <c r="Q33" i="54"/>
  <c r="F33" i="54"/>
  <c r="AU33" i="54" s="1"/>
  <c r="AR26" i="54"/>
  <c r="AN26" i="54"/>
  <c r="AJ26" i="54"/>
  <c r="AF26" i="54"/>
  <c r="AB26" i="54"/>
  <c r="X26" i="54"/>
  <c r="P26" i="54"/>
  <c r="AQ26" i="54"/>
  <c r="AM26" i="54"/>
  <c r="AI26" i="54"/>
  <c r="AE26" i="54"/>
  <c r="AA26" i="54"/>
  <c r="W26" i="54"/>
  <c r="S26" i="54"/>
  <c r="AS26" i="54"/>
  <c r="AK26" i="54"/>
  <c r="AC26" i="54"/>
  <c r="U26" i="54"/>
  <c r="AP26" i="54"/>
  <c r="AH26" i="54"/>
  <c r="Z26" i="54"/>
  <c r="AO26" i="54"/>
  <c r="AG26" i="54"/>
  <c r="Y26" i="54"/>
  <c r="Q26" i="54"/>
  <c r="I26" i="54"/>
  <c r="AL26" i="54"/>
  <c r="AD26" i="54"/>
  <c r="N26" i="54"/>
  <c r="F26" i="54"/>
  <c r="AV26" i="54" s="1"/>
  <c r="BB42" i="54"/>
  <c r="C53" i="54"/>
  <c r="B28" i="54"/>
  <c r="AR27" i="54"/>
  <c r="AN27" i="54"/>
  <c r="AJ27" i="54"/>
  <c r="AF27" i="54"/>
  <c r="AB27" i="54"/>
  <c r="X27" i="54"/>
  <c r="P27" i="54"/>
  <c r="AQ27" i="54"/>
  <c r="AL27" i="54"/>
  <c r="AG27" i="54"/>
  <c r="AA27" i="54"/>
  <c r="Q27" i="54"/>
  <c r="F27" i="54"/>
  <c r="AT27" i="54" s="1"/>
  <c r="AP27" i="54"/>
  <c r="AK27" i="54"/>
  <c r="AE27" i="54"/>
  <c r="Z27" i="54"/>
  <c r="U27" i="54"/>
  <c r="AR31" i="54"/>
  <c r="AN31" i="54"/>
  <c r="AJ31" i="54"/>
  <c r="AF31" i="54"/>
  <c r="AB31" i="54"/>
  <c r="X31" i="54"/>
  <c r="T31" i="54"/>
  <c r="P31" i="54"/>
  <c r="H31" i="54"/>
  <c r="AQ31" i="54"/>
  <c r="AL31" i="54"/>
  <c r="AG31" i="54"/>
  <c r="AA31" i="54"/>
  <c r="Q31" i="54"/>
  <c r="F31" i="54"/>
  <c r="AT31" i="54" s="1"/>
  <c r="AP31" i="54"/>
  <c r="AK31" i="54"/>
  <c r="AE31" i="54"/>
  <c r="Z31" i="54"/>
  <c r="U31" i="54"/>
  <c r="O31" i="54"/>
  <c r="J31" i="54"/>
  <c r="AR35" i="54"/>
  <c r="AN35" i="54"/>
  <c r="AJ35" i="54"/>
  <c r="AF35" i="54"/>
  <c r="AB35" i="54"/>
  <c r="X35" i="54"/>
  <c r="T35" i="54"/>
  <c r="AP35" i="54"/>
  <c r="AK35" i="54"/>
  <c r="AE35" i="54"/>
  <c r="Z35" i="54"/>
  <c r="U35" i="54"/>
  <c r="P35" i="54"/>
  <c r="H35" i="54"/>
  <c r="AS35" i="54"/>
  <c r="AL35" i="54"/>
  <c r="AD35" i="54"/>
  <c r="W35" i="54"/>
  <c r="Q35" i="54"/>
  <c r="F35" i="54"/>
  <c r="AT35" i="54" s="1"/>
  <c r="AQ35" i="54"/>
  <c r="AI35" i="54"/>
  <c r="AC35" i="54"/>
  <c r="O35" i="54"/>
  <c r="J35" i="54"/>
  <c r="AO35" i="54"/>
  <c r="AA35" i="54"/>
  <c r="N35" i="54"/>
  <c r="AH35" i="54"/>
  <c r="S35" i="54"/>
  <c r="I35" i="54"/>
  <c r="AP39" i="54"/>
  <c r="AL39" i="54"/>
  <c r="AH39" i="54"/>
  <c r="AD39" i="54"/>
  <c r="Z39" i="54"/>
  <c r="R39" i="54"/>
  <c r="N39" i="54"/>
  <c r="J39" i="54"/>
  <c r="F39" i="54"/>
  <c r="AU39" i="54" s="1"/>
  <c r="AO39" i="54"/>
  <c r="AJ39" i="54"/>
  <c r="AE39" i="54"/>
  <c r="Y39" i="54"/>
  <c r="T39" i="54"/>
  <c r="O39" i="54"/>
  <c r="I39" i="54"/>
  <c r="AQ39" i="54"/>
  <c r="AI39" i="54"/>
  <c r="AB39" i="54"/>
  <c r="U39" i="54"/>
  <c r="M39" i="54"/>
  <c r="G39" i="54"/>
  <c r="AR39" i="54"/>
  <c r="AG39" i="54"/>
  <c r="X39" i="54"/>
  <c r="P39" i="54"/>
  <c r="AN39" i="54"/>
  <c r="AF39" i="54"/>
  <c r="W39" i="54"/>
  <c r="AC39" i="54"/>
  <c r="AM39" i="54"/>
  <c r="S39" i="54"/>
  <c r="BC42" i="54"/>
  <c r="W27" i="54"/>
  <c r="AH27" i="54"/>
  <c r="AS27" i="54"/>
  <c r="M31" i="54"/>
  <c r="W31" i="54"/>
  <c r="AH31" i="54"/>
  <c r="AS31" i="54"/>
  <c r="G35" i="54"/>
  <c r="Y35" i="54"/>
  <c r="AP36" i="54"/>
  <c r="AL36" i="54"/>
  <c r="AH36" i="54"/>
  <c r="AD36" i="54"/>
  <c r="Z36" i="54"/>
  <c r="R36" i="54"/>
  <c r="N36" i="54"/>
  <c r="J36" i="54"/>
  <c r="F36" i="54"/>
  <c r="AV36" i="54" s="1"/>
  <c r="AS36" i="54"/>
  <c r="AN36" i="54"/>
  <c r="AI36" i="54"/>
  <c r="AC36" i="54"/>
  <c r="X36" i="54"/>
  <c r="S36" i="54"/>
  <c r="M36" i="54"/>
  <c r="H36" i="54"/>
  <c r="AM36" i="54"/>
  <c r="AF36" i="54"/>
  <c r="Y36" i="54"/>
  <c r="Q36" i="54"/>
  <c r="AR36" i="54"/>
  <c r="AK36" i="54"/>
  <c r="AE36" i="54"/>
  <c r="W36" i="54"/>
  <c r="P36" i="54"/>
  <c r="I36" i="54"/>
  <c r="AQ36" i="54"/>
  <c r="AJ36" i="54"/>
  <c r="U36" i="54"/>
  <c r="G36" i="54"/>
  <c r="AB36" i="54"/>
  <c r="O36" i="54"/>
  <c r="AG36" i="54"/>
  <c r="AK39" i="54"/>
  <c r="N27" i="54"/>
  <c r="Y27" i="54"/>
  <c r="AI27" i="54"/>
  <c r="O30" i="54"/>
  <c r="Y30" i="54"/>
  <c r="AJ30" i="54"/>
  <c r="N31" i="54"/>
  <c r="Y31" i="54"/>
  <c r="AI31" i="54"/>
  <c r="M35" i="54"/>
  <c r="AG35" i="54"/>
  <c r="AO36" i="54"/>
  <c r="H39" i="54"/>
  <c r="AS39" i="54"/>
  <c r="E42" i="54"/>
  <c r="D32" i="54" s="1"/>
  <c r="AP25" i="54"/>
  <c r="AL25" i="54"/>
  <c r="AH25" i="54"/>
  <c r="AD25" i="54"/>
  <c r="Z25" i="54"/>
  <c r="N25" i="54"/>
  <c r="F25" i="54"/>
  <c r="AS25" i="54"/>
  <c r="AO25" i="54"/>
  <c r="AK25" i="54"/>
  <c r="AG25" i="54"/>
  <c r="AC25" i="54"/>
  <c r="Y25" i="54"/>
  <c r="U25" i="54"/>
  <c r="Q25" i="54"/>
  <c r="I25" i="54"/>
  <c r="AW42" i="54"/>
  <c r="BA42" i="54"/>
  <c r="C60" i="54"/>
  <c r="F60" i="54" s="1"/>
  <c r="B35" i="54"/>
  <c r="AR37" i="54"/>
  <c r="AN37" i="54"/>
  <c r="AJ37" i="54"/>
  <c r="AF37" i="54"/>
  <c r="AB37" i="54"/>
  <c r="X37" i="54"/>
  <c r="T37" i="54"/>
  <c r="P37" i="54"/>
  <c r="H37" i="54"/>
  <c r="AS37" i="54"/>
  <c r="AM37" i="54"/>
  <c r="AH37" i="54"/>
  <c r="AC37" i="54"/>
  <c r="W37" i="54"/>
  <c r="R37" i="54"/>
  <c r="M37" i="54"/>
  <c r="G37" i="54"/>
  <c r="AO37" i="54"/>
  <c r="AG37" i="54"/>
  <c r="Z37" i="54"/>
  <c r="S37" i="54"/>
  <c r="AL37" i="54"/>
  <c r="AE37" i="54"/>
  <c r="Y37" i="54"/>
  <c r="Q37" i="54"/>
  <c r="J37" i="54"/>
  <c r="AQ37" i="54"/>
  <c r="AD37" i="54"/>
  <c r="I37" i="54"/>
  <c r="AK37" i="54"/>
  <c r="O37" i="54"/>
  <c r="S25" i="54"/>
  <c r="AA25" i="54"/>
  <c r="AI25" i="54"/>
  <c r="AQ25" i="54"/>
  <c r="AY42" i="54"/>
  <c r="AC27" i="54"/>
  <c r="AM27" i="54"/>
  <c r="AP28" i="54"/>
  <c r="AL28" i="54"/>
  <c r="AH28" i="54"/>
  <c r="AD28" i="54"/>
  <c r="Z28" i="54"/>
  <c r="R28" i="54"/>
  <c r="N28" i="54"/>
  <c r="J28" i="54"/>
  <c r="F28" i="54"/>
  <c r="AV28" i="54" s="1"/>
  <c r="AO28" i="54"/>
  <c r="AJ28" i="54"/>
  <c r="AE28" i="54"/>
  <c r="Y28" i="54"/>
  <c r="T28" i="54"/>
  <c r="O28" i="54"/>
  <c r="I28" i="54"/>
  <c r="AS28" i="54"/>
  <c r="AN28" i="54"/>
  <c r="AI28" i="54"/>
  <c r="AC28" i="54"/>
  <c r="X28" i="54"/>
  <c r="S28" i="54"/>
  <c r="M28" i="54"/>
  <c r="H28" i="54"/>
  <c r="P28" i="54"/>
  <c r="AA28" i="54"/>
  <c r="AK28" i="54"/>
  <c r="H30" i="54"/>
  <c r="S30" i="54"/>
  <c r="AC30" i="54"/>
  <c r="G31" i="54"/>
  <c r="R31" i="54"/>
  <c r="AC31" i="54"/>
  <c r="AM31" i="54"/>
  <c r="AP32" i="54"/>
  <c r="AL32" i="54"/>
  <c r="AH32" i="54"/>
  <c r="AD32" i="54"/>
  <c r="Z32" i="54"/>
  <c r="R32" i="54"/>
  <c r="N32" i="54"/>
  <c r="J32" i="54"/>
  <c r="F32" i="54"/>
  <c r="AV32" i="54" s="1"/>
  <c r="AO32" i="54"/>
  <c r="AJ32" i="54"/>
  <c r="AE32" i="54"/>
  <c r="Y32" i="54"/>
  <c r="T32" i="54"/>
  <c r="O32" i="54"/>
  <c r="I32" i="54"/>
  <c r="AS32" i="54"/>
  <c r="AN32" i="54"/>
  <c r="AI32" i="54"/>
  <c r="AC32" i="54"/>
  <c r="X32" i="54"/>
  <c r="S32" i="54"/>
  <c r="M32" i="54"/>
  <c r="H32" i="54"/>
  <c r="P32" i="54"/>
  <c r="AA32" i="54"/>
  <c r="AK32" i="54"/>
  <c r="H34" i="54"/>
  <c r="S34" i="54"/>
  <c r="AC34" i="54"/>
  <c r="R35" i="54"/>
  <c r="AM35" i="54"/>
  <c r="T36" i="54"/>
  <c r="F37" i="54"/>
  <c r="AV37" i="54" s="1"/>
  <c r="AI37" i="54"/>
  <c r="G38" i="54"/>
  <c r="Q39" i="54"/>
  <c r="V42" i="54"/>
  <c r="AP30" i="54"/>
  <c r="AL30" i="54"/>
  <c r="AH30" i="54"/>
  <c r="AD30" i="54"/>
  <c r="Z30" i="54"/>
  <c r="R30" i="54"/>
  <c r="N30" i="54"/>
  <c r="J30" i="54"/>
  <c r="F30" i="54"/>
  <c r="AU30" i="54" s="1"/>
  <c r="AR30" i="54"/>
  <c r="AM30" i="54"/>
  <c r="AG30" i="54"/>
  <c r="AB30" i="54"/>
  <c r="W30" i="54"/>
  <c r="Q30" i="54"/>
  <c r="G30" i="54"/>
  <c r="AQ30" i="54"/>
  <c r="AK30" i="54"/>
  <c r="AF30" i="54"/>
  <c r="AA30" i="54"/>
  <c r="U30" i="54"/>
  <c r="P30" i="54"/>
  <c r="C57" i="54"/>
  <c r="F57" i="54" s="1"/>
  <c r="B32" i="54"/>
  <c r="AP34" i="54"/>
  <c r="AL34" i="54"/>
  <c r="AH34" i="54"/>
  <c r="AD34" i="54"/>
  <c r="Z34" i="54"/>
  <c r="R34" i="54"/>
  <c r="N34" i="54"/>
  <c r="J34" i="54"/>
  <c r="F34" i="54"/>
  <c r="AU34" i="54" s="1"/>
  <c r="AR34" i="54"/>
  <c r="AM34" i="54"/>
  <c r="AG34" i="54"/>
  <c r="AB34" i="54"/>
  <c r="W34" i="54"/>
  <c r="Q34" i="54"/>
  <c r="G34" i="54"/>
  <c r="AQ34" i="54"/>
  <c r="AK34" i="54"/>
  <c r="AF34" i="54"/>
  <c r="AA34" i="54"/>
  <c r="U34" i="54"/>
  <c r="P34" i="54"/>
  <c r="AR38" i="54"/>
  <c r="AN38" i="54"/>
  <c r="AJ38" i="54"/>
  <c r="AF38" i="54"/>
  <c r="AB38" i="54"/>
  <c r="X38" i="54"/>
  <c r="T38" i="54"/>
  <c r="P38" i="54"/>
  <c r="H38" i="54"/>
  <c r="AQ38" i="54"/>
  <c r="AL38" i="54"/>
  <c r="AG38" i="54"/>
  <c r="AA38" i="54"/>
  <c r="Q38" i="54"/>
  <c r="F38" i="54"/>
  <c r="AT38" i="54" s="1"/>
  <c r="AO38" i="54"/>
  <c r="AH38" i="54"/>
  <c r="Z38" i="54"/>
  <c r="S38" i="54"/>
  <c r="M38" i="54"/>
  <c r="AP38" i="54"/>
  <c r="AE38" i="54"/>
  <c r="W38" i="54"/>
  <c r="N38" i="54"/>
  <c r="AM38" i="54"/>
  <c r="AD38" i="54"/>
  <c r="U38" i="54"/>
  <c r="J38" i="54"/>
  <c r="AK38" i="54"/>
  <c r="AC38" i="54"/>
  <c r="I38" i="54"/>
  <c r="R38" i="54"/>
  <c r="AB25" i="54"/>
  <c r="AJ25" i="54"/>
  <c r="AR25" i="54"/>
  <c r="AZ42" i="54"/>
  <c r="I27" i="54"/>
  <c r="S27" i="54"/>
  <c r="AD27" i="54"/>
  <c r="AO27" i="54"/>
  <c r="G28" i="54"/>
  <c r="Q28" i="54"/>
  <c r="AB28" i="54"/>
  <c r="AM28" i="54"/>
  <c r="I30" i="54"/>
  <c r="T30" i="54"/>
  <c r="AE30" i="54"/>
  <c r="AO30" i="54"/>
  <c r="I31" i="54"/>
  <c r="S31" i="54"/>
  <c r="AD31" i="54"/>
  <c r="AO31" i="54"/>
  <c r="G32" i="54"/>
  <c r="Q32" i="54"/>
  <c r="AB32" i="54"/>
  <c r="AM32" i="54"/>
  <c r="I34" i="54"/>
  <c r="T34" i="54"/>
  <c r="AE34" i="54"/>
  <c r="AO34" i="54"/>
  <c r="AA36" i="54"/>
  <c r="N37" i="54"/>
  <c r="AP37" i="54"/>
  <c r="O38" i="54"/>
  <c r="AA39" i="54"/>
  <c r="AR40" i="54"/>
  <c r="AN40" i="54"/>
  <c r="AJ40" i="54"/>
  <c r="AF40" i="54"/>
  <c r="AB40" i="54"/>
  <c r="X40" i="54"/>
  <c r="T40" i="54"/>
  <c r="P40" i="54"/>
  <c r="H40" i="54"/>
  <c r="AO40" i="54"/>
  <c r="AI40" i="54"/>
  <c r="AD40" i="54"/>
  <c r="Y40" i="54"/>
  <c r="S40" i="54"/>
  <c r="N40" i="54"/>
  <c r="I40" i="54"/>
  <c r="AS40" i="54"/>
  <c r="AL40" i="54"/>
  <c r="AE40" i="54"/>
  <c r="W40" i="54"/>
  <c r="Q40" i="54"/>
  <c r="J40" i="54"/>
  <c r="M40" i="54"/>
  <c r="AG40" i="54"/>
  <c r="AP40" i="54"/>
  <c r="B33" i="54"/>
  <c r="F40" i="54"/>
  <c r="AV40" i="54" s="1"/>
  <c r="O40" i="54"/>
  <c r="Z40" i="54"/>
  <c r="AH40" i="54"/>
  <c r="AQ40" i="54"/>
  <c r="E60" i="54"/>
  <c r="U29" i="53"/>
  <c r="AL27" i="53"/>
  <c r="AP27" i="53"/>
  <c r="F27" i="53"/>
  <c r="Z27" i="53"/>
  <c r="AR30" i="53"/>
  <c r="AN30" i="53"/>
  <c r="AJ30" i="53"/>
  <c r="AF30" i="53"/>
  <c r="AB30" i="53"/>
  <c r="X30" i="53"/>
  <c r="T30" i="53"/>
  <c r="P30" i="53"/>
  <c r="H30" i="53"/>
  <c r="AQ30" i="53"/>
  <c r="AM30" i="53"/>
  <c r="AI30" i="53"/>
  <c r="AE30" i="53"/>
  <c r="AA30" i="53"/>
  <c r="W30" i="53"/>
  <c r="S30" i="53"/>
  <c r="O30" i="53"/>
  <c r="G30" i="53"/>
  <c r="AP30" i="53"/>
  <c r="AH30" i="53"/>
  <c r="Z30" i="53"/>
  <c r="R30" i="53"/>
  <c r="J30" i="53"/>
  <c r="AO30" i="53"/>
  <c r="AG30" i="53"/>
  <c r="Y30" i="53"/>
  <c r="Q30" i="53"/>
  <c r="I30" i="53"/>
  <c r="AL30" i="53"/>
  <c r="AD30" i="53"/>
  <c r="N30" i="53"/>
  <c r="F30" i="53"/>
  <c r="AS30" i="53"/>
  <c r="M30" i="53"/>
  <c r="AK30" i="53"/>
  <c r="AC30" i="53"/>
  <c r="U30" i="53"/>
  <c r="E43" i="53"/>
  <c r="D25" i="53" s="1"/>
  <c r="AQ25" i="53"/>
  <c r="AM25" i="53"/>
  <c r="AI25" i="53"/>
  <c r="AE25" i="53"/>
  <c r="AA25" i="53"/>
  <c r="W25" i="53"/>
  <c r="S25" i="53"/>
  <c r="O25" i="53"/>
  <c r="G25" i="53"/>
  <c r="AP25" i="53"/>
  <c r="AL25" i="53"/>
  <c r="AH25" i="53"/>
  <c r="AD25" i="53"/>
  <c r="Z25" i="53"/>
  <c r="R25" i="53"/>
  <c r="N25" i="53"/>
  <c r="J25" i="53"/>
  <c r="F25" i="53"/>
  <c r="AS25" i="53"/>
  <c r="AO25" i="53"/>
  <c r="AK25" i="53"/>
  <c r="AG25" i="53"/>
  <c r="AF25" i="53"/>
  <c r="X25" i="53"/>
  <c r="P25" i="53"/>
  <c r="H25" i="53"/>
  <c r="Q25" i="53"/>
  <c r="AR25" i="53"/>
  <c r="AC25" i="53"/>
  <c r="U25" i="53"/>
  <c r="M25" i="53"/>
  <c r="AN25" i="53"/>
  <c r="AB25" i="53"/>
  <c r="T25" i="53"/>
  <c r="AJ25" i="53"/>
  <c r="Y25" i="53"/>
  <c r="I25" i="53"/>
  <c r="AR37" i="53"/>
  <c r="AN37" i="53"/>
  <c r="AJ37" i="53"/>
  <c r="AF37" i="53"/>
  <c r="AB37" i="53"/>
  <c r="X37" i="53"/>
  <c r="T37" i="53"/>
  <c r="P37" i="53"/>
  <c r="H37" i="53"/>
  <c r="AQ37" i="53"/>
  <c r="AM37" i="53"/>
  <c r="AI37" i="53"/>
  <c r="AE37" i="53"/>
  <c r="AA37" i="53"/>
  <c r="W37" i="53"/>
  <c r="S37" i="53"/>
  <c r="O37" i="53"/>
  <c r="G37" i="53"/>
  <c r="AP37" i="53"/>
  <c r="AL37" i="53"/>
  <c r="AH37" i="53"/>
  <c r="AD37" i="53"/>
  <c r="Z37" i="53"/>
  <c r="R37" i="53"/>
  <c r="N37" i="53"/>
  <c r="J37" i="53"/>
  <c r="F37" i="53"/>
  <c r="AS37" i="53"/>
  <c r="AC37" i="53"/>
  <c r="M37" i="53"/>
  <c r="AO37" i="53"/>
  <c r="Y37" i="53"/>
  <c r="I37" i="53"/>
  <c r="AG37" i="53"/>
  <c r="U37" i="53"/>
  <c r="Q37" i="53"/>
  <c r="AK37" i="53"/>
  <c r="AR34" i="53"/>
  <c r="AN34" i="53"/>
  <c r="AJ34" i="53"/>
  <c r="AF34" i="53"/>
  <c r="AB34" i="53"/>
  <c r="X34" i="53"/>
  <c r="T34" i="53"/>
  <c r="P34" i="53"/>
  <c r="H34" i="53"/>
  <c r="AQ34" i="53"/>
  <c r="AM34" i="53"/>
  <c r="AI34" i="53"/>
  <c r="AE34" i="53"/>
  <c r="AA34" i="53"/>
  <c r="W34" i="53"/>
  <c r="S34" i="53"/>
  <c r="O34" i="53"/>
  <c r="G34" i="53"/>
  <c r="AP34" i="53"/>
  <c r="AH34" i="53"/>
  <c r="Z34" i="53"/>
  <c r="R34" i="53"/>
  <c r="J34" i="53"/>
  <c r="AO34" i="53"/>
  <c r="AG34" i="53"/>
  <c r="Y34" i="53"/>
  <c r="Q34" i="53"/>
  <c r="I34" i="53"/>
  <c r="AL34" i="53"/>
  <c r="AD34" i="53"/>
  <c r="N34" i="53"/>
  <c r="F34" i="53"/>
  <c r="AC34" i="53"/>
  <c r="AK34" i="53"/>
  <c r="U34" i="53"/>
  <c r="AS34" i="53"/>
  <c r="M34" i="53"/>
  <c r="L27" i="53"/>
  <c r="K27" i="53"/>
  <c r="AS35" i="53"/>
  <c r="AO35" i="53"/>
  <c r="AK35" i="53"/>
  <c r="AG35" i="53"/>
  <c r="AC35" i="53"/>
  <c r="Y35" i="53"/>
  <c r="U35" i="53"/>
  <c r="AR35" i="53"/>
  <c r="AN35" i="53"/>
  <c r="AJ35" i="53"/>
  <c r="AF35" i="53"/>
  <c r="AB35" i="53"/>
  <c r="X35" i="53"/>
  <c r="T35" i="53"/>
  <c r="P35" i="53"/>
  <c r="AL35" i="53"/>
  <c r="AD35" i="53"/>
  <c r="O35" i="53"/>
  <c r="G35" i="53"/>
  <c r="AQ35" i="53"/>
  <c r="AI35" i="53"/>
  <c r="AA35" i="53"/>
  <c r="S35" i="53"/>
  <c r="N35" i="53"/>
  <c r="J35" i="53"/>
  <c r="F35" i="53"/>
  <c r="AM35" i="53"/>
  <c r="W35" i="53"/>
  <c r="AH35" i="53"/>
  <c r="R35" i="53"/>
  <c r="I35" i="53"/>
  <c r="AE35" i="53"/>
  <c r="Q35" i="53"/>
  <c r="H35" i="53"/>
  <c r="AP35" i="53"/>
  <c r="Z35" i="53"/>
  <c r="M35" i="53"/>
  <c r="I52" i="53"/>
  <c r="I51" i="53"/>
  <c r="I50" i="53"/>
  <c r="K25" i="53"/>
  <c r="L33" i="53"/>
  <c r="K33" i="53"/>
  <c r="S26" i="53"/>
  <c r="AR28" i="53"/>
  <c r="AN28" i="53"/>
  <c r="AJ28" i="53"/>
  <c r="AF28" i="53"/>
  <c r="AB28" i="53"/>
  <c r="X28" i="53"/>
  <c r="T28" i="53"/>
  <c r="P28" i="53"/>
  <c r="H28" i="53"/>
  <c r="AQ28" i="53"/>
  <c r="AM28" i="53"/>
  <c r="AI28" i="53"/>
  <c r="AE28" i="53"/>
  <c r="AA28" i="53"/>
  <c r="W28" i="53"/>
  <c r="S28" i="53"/>
  <c r="O28" i="53"/>
  <c r="G28" i="53"/>
  <c r="AP28" i="53"/>
  <c r="AL28" i="53"/>
  <c r="AH28" i="53"/>
  <c r="AD28" i="53"/>
  <c r="Z28" i="53"/>
  <c r="R28" i="53"/>
  <c r="N28" i="53"/>
  <c r="J28" i="53"/>
  <c r="F28" i="53"/>
  <c r="L28" i="53"/>
  <c r="K28" i="53"/>
  <c r="L25" i="53"/>
  <c r="W26" i="53"/>
  <c r="AM26" i="53"/>
  <c r="I28" i="53"/>
  <c r="Y28" i="53"/>
  <c r="AO28" i="53"/>
  <c r="H29" i="53"/>
  <c r="AQ31" i="53"/>
  <c r="AM31" i="53"/>
  <c r="AI31" i="53"/>
  <c r="AE31" i="53"/>
  <c r="AA31" i="53"/>
  <c r="W31" i="53"/>
  <c r="S31" i="53"/>
  <c r="O31" i="53"/>
  <c r="G31" i="53"/>
  <c r="AP31" i="53"/>
  <c r="AL31" i="53"/>
  <c r="AH31" i="53"/>
  <c r="AD31" i="53"/>
  <c r="Z31" i="53"/>
  <c r="R31" i="53"/>
  <c r="N31" i="53"/>
  <c r="J31" i="53"/>
  <c r="F31" i="53"/>
  <c r="AR31" i="53"/>
  <c r="AJ31" i="53"/>
  <c r="AB31" i="53"/>
  <c r="T31" i="53"/>
  <c r="AO31" i="53"/>
  <c r="AG31" i="53"/>
  <c r="Y31" i="53"/>
  <c r="Q31" i="53"/>
  <c r="I31" i="53"/>
  <c r="AN31" i="53"/>
  <c r="AF31" i="53"/>
  <c r="X31" i="53"/>
  <c r="P31" i="53"/>
  <c r="H31" i="53"/>
  <c r="AK31" i="53"/>
  <c r="AH33" i="53"/>
  <c r="AS29" i="53"/>
  <c r="AR29" i="53"/>
  <c r="AN29" i="53"/>
  <c r="AJ29" i="53"/>
  <c r="AF29" i="53"/>
  <c r="AB29" i="53"/>
  <c r="X29" i="53"/>
  <c r="T29" i="53"/>
  <c r="AO29" i="53"/>
  <c r="AI29" i="53"/>
  <c r="AD29" i="53"/>
  <c r="Y29" i="53"/>
  <c r="S29" i="53"/>
  <c r="O29" i="53"/>
  <c r="G29" i="53"/>
  <c r="AM29" i="53"/>
  <c r="AH29" i="53"/>
  <c r="AC29" i="53"/>
  <c r="W29" i="53"/>
  <c r="R29" i="53"/>
  <c r="N29" i="53"/>
  <c r="J29" i="53"/>
  <c r="F29" i="53"/>
  <c r="AQ29" i="53"/>
  <c r="AL29" i="53"/>
  <c r="AG29" i="53"/>
  <c r="AA29" i="53"/>
  <c r="Q29" i="53"/>
  <c r="I29" i="53"/>
  <c r="L36" i="53"/>
  <c r="K36" i="53"/>
  <c r="AP32" i="53"/>
  <c r="AL32" i="53"/>
  <c r="AH32" i="53"/>
  <c r="AD32" i="53"/>
  <c r="Z32" i="53"/>
  <c r="R32" i="53"/>
  <c r="N32" i="53"/>
  <c r="J32" i="53"/>
  <c r="F32" i="53"/>
  <c r="AS32" i="53"/>
  <c r="AO32" i="53"/>
  <c r="AK32" i="53"/>
  <c r="AG32" i="53"/>
  <c r="AC32" i="53"/>
  <c r="Y32" i="53"/>
  <c r="U32" i="53"/>
  <c r="Q32" i="53"/>
  <c r="M32" i="53"/>
  <c r="I32" i="53"/>
  <c r="AR32" i="53"/>
  <c r="AJ32" i="53"/>
  <c r="AB32" i="53"/>
  <c r="T32" i="53"/>
  <c r="AQ32" i="53"/>
  <c r="AI32" i="53"/>
  <c r="AA32" i="53"/>
  <c r="S32" i="53"/>
  <c r="AN32" i="53"/>
  <c r="AF32" i="53"/>
  <c r="X32" i="53"/>
  <c r="P32" i="53"/>
  <c r="H32" i="53"/>
  <c r="K35" i="53"/>
  <c r="L35" i="53"/>
  <c r="AS36" i="53"/>
  <c r="AO36" i="53"/>
  <c r="AK36" i="53"/>
  <c r="AG36" i="53"/>
  <c r="AC36" i="53"/>
  <c r="Y36" i="53"/>
  <c r="U36" i="53"/>
  <c r="Q36" i="53"/>
  <c r="M36" i="53"/>
  <c r="I36" i="53"/>
  <c r="AR36" i="53"/>
  <c r="AN36" i="53"/>
  <c r="AJ36" i="53"/>
  <c r="AF36" i="53"/>
  <c r="AB36" i="53"/>
  <c r="X36" i="53"/>
  <c r="T36" i="53"/>
  <c r="P36" i="53"/>
  <c r="H36" i="53"/>
  <c r="AQ36" i="53"/>
  <c r="AM36" i="53"/>
  <c r="AI36" i="53"/>
  <c r="AE36" i="53"/>
  <c r="AA36" i="53"/>
  <c r="W36" i="53"/>
  <c r="S36" i="53"/>
  <c r="O36" i="53"/>
  <c r="G36" i="53"/>
  <c r="AD36" i="53"/>
  <c r="N36" i="53"/>
  <c r="AP36" i="53"/>
  <c r="Z36" i="53"/>
  <c r="J36" i="53"/>
  <c r="R36" i="53"/>
  <c r="AL36" i="53"/>
  <c r="F36" i="53"/>
  <c r="AH36" i="53"/>
  <c r="L39" i="53"/>
  <c r="K39" i="53"/>
  <c r="AS40" i="53"/>
  <c r="AO40" i="53"/>
  <c r="AK40" i="53"/>
  <c r="AG40" i="53"/>
  <c r="AC40" i="53"/>
  <c r="Y40" i="53"/>
  <c r="U40" i="53"/>
  <c r="Q40" i="53"/>
  <c r="M40" i="53"/>
  <c r="I40" i="53"/>
  <c r="AR40" i="53"/>
  <c r="AN40" i="53"/>
  <c r="AJ40" i="53"/>
  <c r="AF40" i="53"/>
  <c r="AB40" i="53"/>
  <c r="X40" i="53"/>
  <c r="T40" i="53"/>
  <c r="P40" i="53"/>
  <c r="H40" i="53"/>
  <c r="AQ40" i="53"/>
  <c r="AM40" i="53"/>
  <c r="AI40" i="53"/>
  <c r="AE40" i="53"/>
  <c r="AA40" i="53"/>
  <c r="W40" i="53"/>
  <c r="S40" i="53"/>
  <c r="O40" i="53"/>
  <c r="G40" i="53"/>
  <c r="AD40" i="53"/>
  <c r="N40" i="53"/>
  <c r="AP40" i="53"/>
  <c r="Z40" i="53"/>
  <c r="J40" i="53"/>
  <c r="R40" i="53"/>
  <c r="AL40" i="53"/>
  <c r="F40" i="53"/>
  <c r="AH40" i="53"/>
  <c r="K26" i="53"/>
  <c r="AA26" i="53"/>
  <c r="N27" i="53"/>
  <c r="M28" i="53"/>
  <c r="AC28" i="53"/>
  <c r="AS28" i="53"/>
  <c r="L29" i="53"/>
  <c r="AE29" i="53"/>
  <c r="M31" i="53"/>
  <c r="AS31" i="53"/>
  <c r="W32" i="53"/>
  <c r="J33" i="53"/>
  <c r="AP26" i="53"/>
  <c r="AL26" i="53"/>
  <c r="AH26" i="53"/>
  <c r="AD26" i="53"/>
  <c r="Z26" i="53"/>
  <c r="N26" i="53"/>
  <c r="F26" i="53"/>
  <c r="AS26" i="53"/>
  <c r="AO26" i="53"/>
  <c r="AK26" i="53"/>
  <c r="AG26" i="53"/>
  <c r="AC26" i="53"/>
  <c r="Y26" i="53"/>
  <c r="U26" i="53"/>
  <c r="Q26" i="53"/>
  <c r="I26" i="53"/>
  <c r="AR26" i="53"/>
  <c r="AN26" i="53"/>
  <c r="AJ26" i="53"/>
  <c r="AF26" i="53"/>
  <c r="AB26" i="53"/>
  <c r="X26" i="53"/>
  <c r="P26" i="53"/>
  <c r="AI26" i="53"/>
  <c r="U28" i="53"/>
  <c r="AK28" i="53"/>
  <c r="L32" i="53"/>
  <c r="K32" i="53"/>
  <c r="AS33" i="53"/>
  <c r="AO33" i="53"/>
  <c r="AK33" i="53"/>
  <c r="AG33" i="53"/>
  <c r="AC33" i="53"/>
  <c r="Y33" i="53"/>
  <c r="U33" i="53"/>
  <c r="Q33" i="53"/>
  <c r="M33" i="53"/>
  <c r="I33" i="53"/>
  <c r="AR33" i="53"/>
  <c r="AN33" i="53"/>
  <c r="AJ33" i="53"/>
  <c r="AF33" i="53"/>
  <c r="AB33" i="53"/>
  <c r="X33" i="53"/>
  <c r="T33" i="53"/>
  <c r="P33" i="53"/>
  <c r="H33" i="53"/>
  <c r="AM33" i="53"/>
  <c r="AE33" i="53"/>
  <c r="W33" i="53"/>
  <c r="O33" i="53"/>
  <c r="G33" i="53"/>
  <c r="AL33" i="53"/>
  <c r="AD33" i="53"/>
  <c r="N33" i="53"/>
  <c r="F33" i="53"/>
  <c r="AQ33" i="53"/>
  <c r="AI33" i="53"/>
  <c r="AA33" i="53"/>
  <c r="S33" i="53"/>
  <c r="K31" i="53"/>
  <c r="L31" i="53"/>
  <c r="AS27" i="53"/>
  <c r="AO27" i="53"/>
  <c r="AK27" i="53"/>
  <c r="AG27" i="53"/>
  <c r="AC27" i="53"/>
  <c r="Y27" i="53"/>
  <c r="U27" i="53"/>
  <c r="Q27" i="53"/>
  <c r="I27" i="53"/>
  <c r="AR27" i="53"/>
  <c r="AN27" i="53"/>
  <c r="AJ27" i="53"/>
  <c r="AF27" i="53"/>
  <c r="AB27" i="53"/>
  <c r="X27" i="53"/>
  <c r="P27" i="53"/>
  <c r="AQ27" i="53"/>
  <c r="AM27" i="53"/>
  <c r="AI27" i="53"/>
  <c r="AE27" i="53"/>
  <c r="AA27" i="53"/>
  <c r="W27" i="53"/>
  <c r="S27" i="53"/>
  <c r="L30" i="53"/>
  <c r="K30" i="53"/>
  <c r="L34" i="53"/>
  <c r="K34" i="53"/>
  <c r="K38" i="53"/>
  <c r="L38" i="53"/>
  <c r="AP39" i="53"/>
  <c r="AL39" i="53"/>
  <c r="AH39" i="53"/>
  <c r="AD39" i="53"/>
  <c r="Z39" i="53"/>
  <c r="R39" i="53"/>
  <c r="N39" i="53"/>
  <c r="J39" i="53"/>
  <c r="F39" i="53"/>
  <c r="AS39" i="53"/>
  <c r="AO39" i="53"/>
  <c r="AK39" i="53"/>
  <c r="AG39" i="53"/>
  <c r="AC39" i="53"/>
  <c r="Y39" i="53"/>
  <c r="U39" i="53"/>
  <c r="Q39" i="53"/>
  <c r="M39" i="53"/>
  <c r="I39" i="53"/>
  <c r="AR39" i="53"/>
  <c r="AN39" i="53"/>
  <c r="AJ39" i="53"/>
  <c r="AF39" i="53"/>
  <c r="AB39" i="53"/>
  <c r="X39" i="53"/>
  <c r="T39" i="53"/>
  <c r="P39" i="53"/>
  <c r="H39" i="53"/>
  <c r="AQ39" i="53"/>
  <c r="AA39" i="53"/>
  <c r="AM39" i="53"/>
  <c r="W39" i="53"/>
  <c r="G39" i="53"/>
  <c r="AE39" i="53"/>
  <c r="S39" i="53"/>
  <c r="O39" i="53"/>
  <c r="AE26" i="53"/>
  <c r="AH27" i="53"/>
  <c r="Q28" i="53"/>
  <c r="AG28" i="53"/>
  <c r="P29" i="53"/>
  <c r="AK29" i="53"/>
  <c r="U31" i="53"/>
  <c r="AE32" i="53"/>
  <c r="R33" i="53"/>
  <c r="L37" i="53"/>
  <c r="K37" i="53"/>
  <c r="AQ38" i="53"/>
  <c r="AM38" i="53"/>
  <c r="AI38" i="53"/>
  <c r="AE38" i="53"/>
  <c r="AA38" i="53"/>
  <c r="W38" i="53"/>
  <c r="S38" i="53"/>
  <c r="O38" i="53"/>
  <c r="G38" i="53"/>
  <c r="AP38" i="53"/>
  <c r="AL38" i="53"/>
  <c r="AH38" i="53"/>
  <c r="AD38" i="53"/>
  <c r="Z38" i="53"/>
  <c r="R38" i="53"/>
  <c r="N38" i="53"/>
  <c r="J38" i="53"/>
  <c r="F38" i="53"/>
  <c r="AS38" i="53"/>
  <c r="AO38" i="53"/>
  <c r="AK38" i="53"/>
  <c r="AG38" i="53"/>
  <c r="AC38" i="53"/>
  <c r="Y38" i="53"/>
  <c r="U38" i="53"/>
  <c r="Q38" i="53"/>
  <c r="M38" i="53"/>
  <c r="I38" i="53"/>
  <c r="AR38" i="53"/>
  <c r="AB38" i="53"/>
  <c r="AN38" i="53"/>
  <c r="X38" i="53"/>
  <c r="H38" i="53"/>
  <c r="AJ38" i="53"/>
  <c r="L40" i="53"/>
  <c r="K40" i="53"/>
  <c r="P38" i="53"/>
  <c r="C9" i="46"/>
  <c r="C8" i="46"/>
  <c r="T21" i="12"/>
  <c r="R21" i="12"/>
  <c r="O21" i="12"/>
  <c r="M21" i="12"/>
  <c r="H21" i="12"/>
  <c r="G21" i="12" s="1"/>
  <c r="F55" i="54" l="1"/>
  <c r="E50" i="54"/>
  <c r="AV39" i="54"/>
  <c r="AT39" i="54"/>
  <c r="L39" i="54" s="1"/>
  <c r="AT34" i="54"/>
  <c r="L34" i="54" s="1"/>
  <c r="AU38" i="54"/>
  <c r="AT37" i="54"/>
  <c r="K37" i="54" s="1"/>
  <c r="AU37" i="54"/>
  <c r="AU35" i="54"/>
  <c r="AU40" i="54"/>
  <c r="AT40" i="54"/>
  <c r="K40" i="54" s="1"/>
  <c r="F54" i="54"/>
  <c r="AT32" i="54"/>
  <c r="L32" i="54" s="1"/>
  <c r="AV29" i="54"/>
  <c r="AT29" i="54"/>
  <c r="K29" i="54" s="1"/>
  <c r="E52" i="54"/>
  <c r="B43" i="54"/>
  <c r="F56" i="54"/>
  <c r="P42" i="54"/>
  <c r="P43" i="54" s="1"/>
  <c r="AF42" i="54"/>
  <c r="AF43" i="54" s="1"/>
  <c r="D66" i="54"/>
  <c r="D37" i="54"/>
  <c r="E58" i="54"/>
  <c r="F53" i="54"/>
  <c r="AE42" i="54"/>
  <c r="AE43" i="54" s="1"/>
  <c r="D33" i="54"/>
  <c r="AB42" i="54"/>
  <c r="AB43" i="54" s="1"/>
  <c r="W42" i="54"/>
  <c r="W43" i="54" s="1"/>
  <c r="X42" i="54"/>
  <c r="X43" i="54" s="1"/>
  <c r="D28" i="54"/>
  <c r="AU27" i="54"/>
  <c r="D36" i="54"/>
  <c r="F59" i="54"/>
  <c r="AY43" i="54"/>
  <c r="F51" i="54"/>
  <c r="E51" i="54"/>
  <c r="AV27" i="54"/>
  <c r="AM42" i="54"/>
  <c r="AM43" i="54" s="1"/>
  <c r="AZ43" i="54"/>
  <c r="AN42" i="54"/>
  <c r="AN43" i="54" s="1"/>
  <c r="Q42" i="54"/>
  <c r="Q43" i="54" s="1"/>
  <c r="AP42" i="54"/>
  <c r="AP43" i="54" s="1"/>
  <c r="L31" i="54"/>
  <c r="K31" i="54"/>
  <c r="AV33" i="54"/>
  <c r="L38" i="54"/>
  <c r="K38" i="54"/>
  <c r="AA42" i="54"/>
  <c r="AA43" i="54" s="1"/>
  <c r="AU31" i="54"/>
  <c r="U42" i="54"/>
  <c r="U43" i="54" s="1"/>
  <c r="AK42" i="54"/>
  <c r="AK43" i="54" s="1"/>
  <c r="AD42" i="54"/>
  <c r="AD43" i="54" s="1"/>
  <c r="E43" i="54"/>
  <c r="D34" i="54"/>
  <c r="D30" i="54"/>
  <c r="D27" i="54"/>
  <c r="BC43" i="54"/>
  <c r="BB43" i="54"/>
  <c r="AU26" i="54"/>
  <c r="AT26" i="54"/>
  <c r="D26" i="54"/>
  <c r="D40" i="54"/>
  <c r="AT30" i="54"/>
  <c r="AR42" i="54"/>
  <c r="AR43" i="54" s="1"/>
  <c r="D25" i="54"/>
  <c r="AU36" i="54"/>
  <c r="AT33" i="54"/>
  <c r="AV31" i="54"/>
  <c r="AU28" i="54"/>
  <c r="S42" i="54"/>
  <c r="S43" i="54" s="1"/>
  <c r="AV38" i="54"/>
  <c r="AV30" i="54"/>
  <c r="BA43" i="54"/>
  <c r="I42" i="54"/>
  <c r="I43" i="54" s="1"/>
  <c r="Y42" i="54"/>
  <c r="Y43" i="54" s="1"/>
  <c r="AO42" i="54"/>
  <c r="AO43" i="54" s="1"/>
  <c r="N42" i="54"/>
  <c r="N43" i="54" s="1"/>
  <c r="AH42" i="54"/>
  <c r="AH43" i="54" s="1"/>
  <c r="D35" i="54"/>
  <c r="D31" i="54"/>
  <c r="D29" i="54"/>
  <c r="AI42" i="54"/>
  <c r="AI43" i="54" s="1"/>
  <c r="AG42" i="54"/>
  <c r="AG43" i="54" s="1"/>
  <c r="F42" i="54"/>
  <c r="F43" i="54" s="1"/>
  <c r="AV25" i="54"/>
  <c r="AU25" i="54"/>
  <c r="Z42" i="54"/>
  <c r="Z43" i="54" s="1"/>
  <c r="L35" i="54"/>
  <c r="K35" i="54"/>
  <c r="AJ42" i="54"/>
  <c r="AJ43" i="54" s="1"/>
  <c r="D38" i="54"/>
  <c r="AV35" i="54"/>
  <c r="AU32" i="54"/>
  <c r="AQ42" i="54"/>
  <c r="AQ43" i="54" s="1"/>
  <c r="AT36" i="54"/>
  <c r="AV34" i="54"/>
  <c r="AT28" i="54"/>
  <c r="AC42" i="54"/>
  <c r="AC43" i="54" s="1"/>
  <c r="AS42" i="54"/>
  <c r="AS43" i="54" s="1"/>
  <c r="AL42" i="54"/>
  <c r="AL43" i="54" s="1"/>
  <c r="D39" i="54"/>
  <c r="L27" i="54"/>
  <c r="K27" i="54"/>
  <c r="AT25" i="54"/>
  <c r="V43" i="54"/>
  <c r="V30" i="53"/>
  <c r="V34" i="53"/>
  <c r="V37" i="53"/>
  <c r="V32" i="53"/>
  <c r="V39" i="53"/>
  <c r="V35" i="53"/>
  <c r="V25" i="53"/>
  <c r="V26" i="53"/>
  <c r="D39" i="53"/>
  <c r="D27" i="53"/>
  <c r="D35" i="53"/>
  <c r="D33" i="53"/>
  <c r="D40" i="53"/>
  <c r="D32" i="53"/>
  <c r="D31" i="53"/>
  <c r="V27" i="53"/>
  <c r="D37" i="53"/>
  <c r="D38" i="53"/>
  <c r="V31" i="53"/>
  <c r="V28" i="53"/>
  <c r="V29" i="53"/>
  <c r="V33" i="53"/>
  <c r="D26" i="53"/>
  <c r="D36" i="53"/>
  <c r="D28" i="53"/>
  <c r="V38" i="53"/>
  <c r="V40" i="53"/>
  <c r="D34" i="53"/>
  <c r="AJ42" i="53"/>
  <c r="AJ43" i="53" s="1"/>
  <c r="AN42" i="53"/>
  <c r="AN43" i="53" s="1"/>
  <c r="AR42" i="53"/>
  <c r="AR43" i="53" s="1"/>
  <c r="X42" i="53"/>
  <c r="X43" i="53" s="1"/>
  <c r="AO42" i="53"/>
  <c r="AO43" i="53" s="1"/>
  <c r="N42" i="53"/>
  <c r="N43" i="53" s="1"/>
  <c r="AH42" i="53"/>
  <c r="AH43" i="53" s="1"/>
  <c r="AE42" i="53"/>
  <c r="AE43" i="53" s="1"/>
  <c r="E42" i="53"/>
  <c r="I49" i="53"/>
  <c r="D29" i="53"/>
  <c r="Y42" i="53"/>
  <c r="P42" i="53"/>
  <c r="P43" i="53" s="1"/>
  <c r="AA42" i="53"/>
  <c r="AA43" i="53" s="1"/>
  <c r="V36" i="53"/>
  <c r="Q42" i="53"/>
  <c r="Q43" i="53" s="1"/>
  <c r="AF42" i="53"/>
  <c r="AF43" i="53" s="1"/>
  <c r="AS42" i="53"/>
  <c r="AS43" i="53" s="1"/>
  <c r="AL42" i="53"/>
  <c r="AL43" i="53" s="1"/>
  <c r="S42" i="53"/>
  <c r="S43" i="53" s="1"/>
  <c r="AI42" i="53"/>
  <c r="AI43" i="53" s="1"/>
  <c r="D30" i="53"/>
  <c r="K42" i="53"/>
  <c r="K43" i="53" s="1"/>
  <c r="AB42" i="53"/>
  <c r="AB43" i="53" s="1"/>
  <c r="AC42" i="53"/>
  <c r="AC43" i="53" s="1"/>
  <c r="AK42" i="53"/>
  <c r="AK43" i="53" s="1"/>
  <c r="AD42" i="53"/>
  <c r="AD43" i="53" s="1"/>
  <c r="AQ42" i="53"/>
  <c r="AQ43" i="53" s="1"/>
  <c r="L42" i="53"/>
  <c r="L43" i="53" s="1"/>
  <c r="I42" i="53"/>
  <c r="I43" i="53" s="1"/>
  <c r="U42" i="53"/>
  <c r="U43" i="53" s="1"/>
  <c r="AG42" i="53"/>
  <c r="AG43" i="53" s="1"/>
  <c r="F42" i="53"/>
  <c r="F43" i="53" s="1"/>
  <c r="Z42" i="53"/>
  <c r="Z43" i="53" s="1"/>
  <c r="AP42" i="53"/>
  <c r="AP43" i="53" s="1"/>
  <c r="W42" i="53"/>
  <c r="W43" i="53" s="1"/>
  <c r="AM42" i="53"/>
  <c r="AM43" i="53" s="1"/>
  <c r="M96" i="12"/>
  <c r="M95" i="12"/>
  <c r="M94" i="12"/>
  <c r="M93" i="12"/>
  <c r="M92" i="12"/>
  <c r="M91" i="12"/>
  <c r="M8" i="54" s="1"/>
  <c r="M27" i="54" s="1"/>
  <c r="M90" i="12"/>
  <c r="M89" i="12"/>
  <c r="M88" i="12"/>
  <c r="M87" i="12"/>
  <c r="M86" i="12"/>
  <c r="M85" i="12"/>
  <c r="M10" i="53"/>
  <c r="M29" i="53" s="1"/>
  <c r="M79" i="12"/>
  <c r="M78" i="12"/>
  <c r="M77" i="12"/>
  <c r="M76" i="12"/>
  <c r="M75" i="12"/>
  <c r="M74" i="12"/>
  <c r="M73" i="12"/>
  <c r="M72" i="12"/>
  <c r="M71" i="12"/>
  <c r="M70" i="12"/>
  <c r="M69" i="12"/>
  <c r="M68" i="12"/>
  <c r="M67" i="12"/>
  <c r="M66" i="12"/>
  <c r="M65" i="12"/>
  <c r="M64" i="12"/>
  <c r="M45" i="12"/>
  <c r="M44" i="12"/>
  <c r="M43" i="12"/>
  <c r="M42" i="12"/>
  <c r="M40" i="12"/>
  <c r="M39" i="12"/>
  <c r="M38" i="12"/>
  <c r="M37" i="12"/>
  <c r="M36" i="12"/>
  <c r="M35" i="12"/>
  <c r="M6" i="62" s="1"/>
  <c r="M25" i="62" s="1"/>
  <c r="M34" i="12"/>
  <c r="M32" i="12"/>
  <c r="M31" i="12"/>
  <c r="M30" i="12"/>
  <c r="M29" i="12"/>
  <c r="M28" i="12"/>
  <c r="M27" i="12"/>
  <c r="M26" i="12"/>
  <c r="M25" i="12"/>
  <c r="M24" i="12"/>
  <c r="M23" i="12"/>
  <c r="M22" i="12"/>
  <c r="M20" i="12"/>
  <c r="M19" i="12"/>
  <c r="M18" i="12"/>
  <c r="M17" i="12"/>
  <c r="M16" i="12"/>
  <c r="M15" i="12"/>
  <c r="M14" i="12"/>
  <c r="M13" i="12"/>
  <c r="M11" i="12"/>
  <c r="M10" i="12"/>
  <c r="M9" i="12"/>
  <c r="M8" i="12"/>
  <c r="M7" i="12"/>
  <c r="M6" i="12"/>
  <c r="M5" i="12"/>
  <c r="M4" i="12"/>
  <c r="M3" i="12"/>
  <c r="M16" i="62" l="1"/>
  <c r="M35" i="62" s="1"/>
  <c r="M14" i="62"/>
  <c r="M33" i="62" s="1"/>
  <c r="M8" i="62"/>
  <c r="M27" i="62" s="1"/>
  <c r="M13" i="62"/>
  <c r="M32" i="62" s="1"/>
  <c r="M12" i="62"/>
  <c r="M31" i="62" s="1"/>
  <c r="M11" i="62"/>
  <c r="M30" i="62" s="1"/>
  <c r="M7" i="62"/>
  <c r="M26" i="62" s="1"/>
  <c r="M10" i="62"/>
  <c r="M29" i="62" s="1"/>
  <c r="M8" i="53"/>
  <c r="M27" i="53" s="1"/>
  <c r="M6" i="54"/>
  <c r="M25" i="54" s="1"/>
  <c r="M7" i="53"/>
  <c r="M26" i="53" s="1"/>
  <c r="K39" i="54"/>
  <c r="M7" i="54"/>
  <c r="M26" i="54" s="1"/>
  <c r="K34" i="54"/>
  <c r="L29" i="54"/>
  <c r="L40" i="54"/>
  <c r="L37" i="54"/>
  <c r="K32" i="54"/>
  <c r="F66" i="54"/>
  <c r="G53" i="54" s="1"/>
  <c r="E66" i="54"/>
  <c r="L26" i="54"/>
  <c r="K26" i="54"/>
  <c r="L28" i="54"/>
  <c r="K28" i="54"/>
  <c r="L30" i="54"/>
  <c r="K30" i="54"/>
  <c r="L25" i="54"/>
  <c r="K25" i="54"/>
  <c r="AT42" i="54"/>
  <c r="AT43" i="54" s="1"/>
  <c r="K36" i="54"/>
  <c r="L36" i="54"/>
  <c r="AU42" i="54"/>
  <c r="AU43" i="54" s="1"/>
  <c r="AW43" i="54"/>
  <c r="D42" i="54"/>
  <c r="L33" i="54"/>
  <c r="K33" i="54"/>
  <c r="AV42" i="54"/>
  <c r="AV43" i="54" s="1"/>
  <c r="V42" i="53"/>
  <c r="V43" i="53" s="1"/>
  <c r="D42" i="53"/>
  <c r="I48" i="53"/>
  <c r="Y43" i="53"/>
  <c r="C6" i="43"/>
  <c r="C7" i="43"/>
  <c r="C6" i="46"/>
  <c r="C7" i="46"/>
  <c r="M42" i="62" l="1"/>
  <c r="I48" i="62" s="1"/>
  <c r="M42" i="53"/>
  <c r="I47" i="53" s="1"/>
  <c r="M42" i="54"/>
  <c r="M43" i="54" s="1"/>
  <c r="G55" i="54"/>
  <c r="G51" i="54"/>
  <c r="G60" i="54"/>
  <c r="G52" i="54"/>
  <c r="G56" i="54"/>
  <c r="G54" i="54"/>
  <c r="G58" i="54"/>
  <c r="G57" i="54"/>
  <c r="G50" i="54"/>
  <c r="G59" i="54"/>
  <c r="L42" i="54"/>
  <c r="L43" i="54" s="1"/>
  <c r="K42" i="54"/>
  <c r="K43" i="54" s="1"/>
  <c r="E45" i="44"/>
  <c r="M43" i="62" l="1"/>
  <c r="M43" i="53"/>
  <c r="G66" i="54"/>
  <c r="BC21" i="46"/>
  <c r="BC40" i="46" s="1"/>
  <c r="BB21" i="46"/>
  <c r="BB40" i="46" s="1"/>
  <c r="BC20" i="46"/>
  <c r="BC39" i="46" s="1"/>
  <c r="BB20" i="46"/>
  <c r="BB39" i="46" s="1"/>
  <c r="BC19" i="46"/>
  <c r="BC38" i="46" s="1"/>
  <c r="BB19" i="46"/>
  <c r="BB38" i="46" s="1"/>
  <c r="BC18" i="46"/>
  <c r="BC37" i="46" s="1"/>
  <c r="BB18" i="46"/>
  <c r="BB37" i="46" s="1"/>
  <c r="BC17" i="46"/>
  <c r="BC36" i="46" s="1"/>
  <c r="BB17" i="46"/>
  <c r="BB36" i="46" s="1"/>
  <c r="BC16" i="46"/>
  <c r="BC35" i="46" s="1"/>
  <c r="BB16" i="46"/>
  <c r="BB35" i="46" s="1"/>
  <c r="BC15" i="46"/>
  <c r="BC34" i="46" s="1"/>
  <c r="BB15" i="46"/>
  <c r="BB34" i="46" s="1"/>
  <c r="BC14" i="46"/>
  <c r="BC33" i="46" s="1"/>
  <c r="BB14" i="46"/>
  <c r="BB33" i="46" s="1"/>
  <c r="BC13" i="46"/>
  <c r="BC32" i="46" s="1"/>
  <c r="BB13" i="46"/>
  <c r="BB32" i="46" s="1"/>
  <c r="BC12" i="46"/>
  <c r="BC31" i="46" s="1"/>
  <c r="BB12" i="46"/>
  <c r="BB31" i="46" s="1"/>
  <c r="BC11" i="46"/>
  <c r="BC30" i="46" s="1"/>
  <c r="BB11" i="46"/>
  <c r="BB30" i="46" s="1"/>
  <c r="BC10" i="46"/>
  <c r="BC29" i="46" s="1"/>
  <c r="BB10" i="46"/>
  <c r="BB29" i="46" s="1"/>
  <c r="BC9" i="46"/>
  <c r="BC28" i="46" s="1"/>
  <c r="BB9" i="46"/>
  <c r="BB28" i="46" s="1"/>
  <c r="BC8" i="46"/>
  <c r="BC27" i="46" s="1"/>
  <c r="BB8" i="46"/>
  <c r="BB27" i="46" s="1"/>
  <c r="BC7" i="46"/>
  <c r="BC26" i="46" s="1"/>
  <c r="BB7" i="46"/>
  <c r="BB26" i="46" s="1"/>
  <c r="BC6" i="46"/>
  <c r="BC25" i="46" s="1"/>
  <c r="BB6" i="46"/>
  <c r="BB25" i="46" s="1"/>
  <c r="BC42" i="46" l="1"/>
  <c r="BB42" i="46"/>
  <c r="BA21" i="46" l="1"/>
  <c r="BA40" i="46" s="1"/>
  <c r="AZ21" i="46"/>
  <c r="AZ40" i="46" s="1"/>
  <c r="AY21" i="46"/>
  <c r="AY40" i="46" s="1"/>
  <c r="AX21" i="46"/>
  <c r="AX40" i="46" s="1"/>
  <c r="AW21" i="46"/>
  <c r="AW40" i="46" s="1"/>
  <c r="AV21" i="46"/>
  <c r="AU21" i="46"/>
  <c r="AT21" i="46"/>
  <c r="BA20" i="46"/>
  <c r="BA39" i="46" s="1"/>
  <c r="AZ20" i="46"/>
  <c r="AZ39" i="46" s="1"/>
  <c r="AY20" i="46"/>
  <c r="AY39" i="46" s="1"/>
  <c r="AX20" i="46"/>
  <c r="AX39" i="46" s="1"/>
  <c r="AW20" i="46"/>
  <c r="AW39" i="46" s="1"/>
  <c r="AV20" i="46"/>
  <c r="AU20" i="46"/>
  <c r="AT20" i="46"/>
  <c r="BA19" i="46"/>
  <c r="BA38" i="46" s="1"/>
  <c r="AZ19" i="46"/>
  <c r="AZ38" i="46" s="1"/>
  <c r="AY19" i="46"/>
  <c r="AY38" i="46" s="1"/>
  <c r="AX19" i="46"/>
  <c r="AX38" i="46" s="1"/>
  <c r="AW19" i="46"/>
  <c r="AW38" i="46" s="1"/>
  <c r="AV19" i="46"/>
  <c r="AU19" i="46"/>
  <c r="AT19" i="46"/>
  <c r="BA18" i="46"/>
  <c r="BA37" i="46" s="1"/>
  <c r="AZ18" i="46"/>
  <c r="AZ37" i="46" s="1"/>
  <c r="AY18" i="46"/>
  <c r="AY37" i="46" s="1"/>
  <c r="AX18" i="46"/>
  <c r="AX37" i="46" s="1"/>
  <c r="AW18" i="46"/>
  <c r="AW37" i="46" s="1"/>
  <c r="AV18" i="46"/>
  <c r="AU18" i="46"/>
  <c r="AT18" i="46"/>
  <c r="BA17" i="46"/>
  <c r="BA36" i="46" s="1"/>
  <c r="AZ17" i="46"/>
  <c r="AZ36" i="46" s="1"/>
  <c r="AY17" i="46"/>
  <c r="AY36" i="46" s="1"/>
  <c r="AX17" i="46"/>
  <c r="AX36" i="46" s="1"/>
  <c r="AW17" i="46"/>
  <c r="AW36" i="46" s="1"/>
  <c r="AV17" i="46"/>
  <c r="AU17" i="46"/>
  <c r="AT17" i="46"/>
  <c r="BA16" i="46"/>
  <c r="BA35" i="46" s="1"/>
  <c r="AZ16" i="46"/>
  <c r="AZ35" i="46" s="1"/>
  <c r="AY16" i="46"/>
  <c r="AY35" i="46" s="1"/>
  <c r="AX16" i="46"/>
  <c r="AX35" i="46" s="1"/>
  <c r="AW16" i="46"/>
  <c r="AW35" i="46" s="1"/>
  <c r="AV16" i="46"/>
  <c r="AU16" i="46"/>
  <c r="AT16" i="46"/>
  <c r="BA15" i="46"/>
  <c r="BA34" i="46" s="1"/>
  <c r="AZ15" i="46"/>
  <c r="AZ34" i="46" s="1"/>
  <c r="AY15" i="46"/>
  <c r="AY34" i="46" s="1"/>
  <c r="AX15" i="46"/>
  <c r="AX34" i="46" s="1"/>
  <c r="AW15" i="46"/>
  <c r="AW34" i="46" s="1"/>
  <c r="AV15" i="46"/>
  <c r="AU15" i="46"/>
  <c r="AT15" i="46"/>
  <c r="BA14" i="46"/>
  <c r="BA33" i="46" s="1"/>
  <c r="AZ14" i="46"/>
  <c r="AZ33" i="46" s="1"/>
  <c r="AY14" i="46"/>
  <c r="AY33" i="46" s="1"/>
  <c r="AX14" i="46"/>
  <c r="AX33" i="46" s="1"/>
  <c r="AW14" i="46"/>
  <c r="AW33" i="46" s="1"/>
  <c r="AV14" i="46"/>
  <c r="AU14" i="46"/>
  <c r="AT14" i="46"/>
  <c r="BA13" i="46"/>
  <c r="BA32" i="46" s="1"/>
  <c r="AZ13" i="46"/>
  <c r="AZ32" i="46" s="1"/>
  <c r="AY13" i="46"/>
  <c r="AY32" i="46" s="1"/>
  <c r="AX13" i="46"/>
  <c r="AX32" i="46" s="1"/>
  <c r="AW13" i="46"/>
  <c r="AW32" i="46" s="1"/>
  <c r="AV13" i="46"/>
  <c r="AU13" i="46"/>
  <c r="AT13" i="46"/>
  <c r="BA12" i="46"/>
  <c r="BA31" i="46" s="1"/>
  <c r="AZ12" i="46"/>
  <c r="AZ31" i="46" s="1"/>
  <c r="AY12" i="46"/>
  <c r="AY31" i="46" s="1"/>
  <c r="AX12" i="46"/>
  <c r="AX31" i="46" s="1"/>
  <c r="AW12" i="46"/>
  <c r="AW31" i="46" s="1"/>
  <c r="AV12" i="46"/>
  <c r="AU12" i="46"/>
  <c r="AT12" i="46"/>
  <c r="BA11" i="46"/>
  <c r="BA30" i="46" s="1"/>
  <c r="AZ11" i="46"/>
  <c r="AZ30" i="46" s="1"/>
  <c r="AY11" i="46"/>
  <c r="AY30" i="46" s="1"/>
  <c r="AX11" i="46"/>
  <c r="AX30" i="46" s="1"/>
  <c r="AW11" i="46"/>
  <c r="AW30" i="46" s="1"/>
  <c r="AV11" i="46"/>
  <c r="AU11" i="46"/>
  <c r="AT11" i="46"/>
  <c r="BA10" i="46"/>
  <c r="BA29" i="46" s="1"/>
  <c r="AZ10" i="46"/>
  <c r="AZ29" i="46" s="1"/>
  <c r="AY10" i="46"/>
  <c r="AY29" i="46" s="1"/>
  <c r="AX10" i="46"/>
  <c r="AX29" i="46" s="1"/>
  <c r="AW10" i="46"/>
  <c r="AW29" i="46" s="1"/>
  <c r="AV10" i="46"/>
  <c r="AU10" i="46"/>
  <c r="AT10" i="46"/>
  <c r="BA9" i="46"/>
  <c r="BA28" i="46" s="1"/>
  <c r="AZ9" i="46"/>
  <c r="AZ28" i="46" s="1"/>
  <c r="AY9" i="46"/>
  <c r="AY28" i="46" s="1"/>
  <c r="AX9" i="46"/>
  <c r="AX28" i="46" s="1"/>
  <c r="AW9" i="46"/>
  <c r="AW28" i="46" s="1"/>
  <c r="AV9" i="46"/>
  <c r="AU9" i="46"/>
  <c r="AT9" i="46"/>
  <c r="BA8" i="46"/>
  <c r="BA27" i="46" s="1"/>
  <c r="AZ8" i="46"/>
  <c r="AZ27" i="46" s="1"/>
  <c r="AY8" i="46"/>
  <c r="AY27" i="46" s="1"/>
  <c r="AX8" i="46"/>
  <c r="AX27" i="46" s="1"/>
  <c r="AW8" i="46"/>
  <c r="AW27" i="46" s="1"/>
  <c r="AV8" i="46"/>
  <c r="AU8" i="46"/>
  <c r="AT8" i="46"/>
  <c r="BA7" i="46"/>
  <c r="BA26" i="46" s="1"/>
  <c r="AZ7" i="46"/>
  <c r="AZ26" i="46" s="1"/>
  <c r="AY7" i="46"/>
  <c r="AY26" i="46" s="1"/>
  <c r="AX7" i="46"/>
  <c r="AX26" i="46" s="1"/>
  <c r="AW7" i="46"/>
  <c r="AW26" i="46" s="1"/>
  <c r="AV7" i="46"/>
  <c r="AU7" i="46"/>
  <c r="AT7" i="46"/>
  <c r="BA6" i="46"/>
  <c r="BA25" i="46" s="1"/>
  <c r="AZ6" i="46"/>
  <c r="AZ25" i="46" s="1"/>
  <c r="AY6" i="46"/>
  <c r="AY25" i="46" s="1"/>
  <c r="AX6" i="46"/>
  <c r="AX25" i="46" s="1"/>
  <c r="AW6" i="46"/>
  <c r="AW25" i="46" s="1"/>
  <c r="AV6" i="46"/>
  <c r="AU6" i="46"/>
  <c r="AT6" i="46"/>
  <c r="B67" i="46"/>
  <c r="D65" i="46" s="1"/>
  <c r="C42" i="46"/>
  <c r="A40" i="46"/>
  <c r="A65" i="46" s="1"/>
  <c r="A39" i="46"/>
  <c r="A64" i="46" s="1"/>
  <c r="A38" i="46"/>
  <c r="A63" i="46" s="1"/>
  <c r="A37" i="46"/>
  <c r="A62" i="46" s="1"/>
  <c r="A36" i="46"/>
  <c r="A61" i="46" s="1"/>
  <c r="A35" i="46"/>
  <c r="A60" i="46" s="1"/>
  <c r="A34" i="46"/>
  <c r="A59" i="46" s="1"/>
  <c r="A33" i="46"/>
  <c r="A58" i="46" s="1"/>
  <c r="A32" i="46"/>
  <c r="A57" i="46" s="1"/>
  <c r="A31" i="46"/>
  <c r="A56" i="46" s="1"/>
  <c r="A30" i="46"/>
  <c r="A55" i="46" s="1"/>
  <c r="A29" i="46"/>
  <c r="A54" i="46" s="1"/>
  <c r="A28" i="46"/>
  <c r="A53" i="46" s="1"/>
  <c r="A27" i="46"/>
  <c r="A52" i="46" s="1"/>
  <c r="A26" i="46"/>
  <c r="A51" i="46" s="1"/>
  <c r="A25" i="46"/>
  <c r="A50" i="46" s="1"/>
  <c r="B23" i="46"/>
  <c r="AS21" i="46"/>
  <c r="AR21" i="46"/>
  <c r="AQ21" i="46"/>
  <c r="AP21" i="46"/>
  <c r="AO21" i="46"/>
  <c r="AN21" i="46"/>
  <c r="AM21" i="46"/>
  <c r="AL21" i="46"/>
  <c r="AK21" i="46"/>
  <c r="AJ21" i="46"/>
  <c r="AI21" i="46"/>
  <c r="AH21" i="46"/>
  <c r="AG21" i="46"/>
  <c r="AF21" i="46"/>
  <c r="AE21" i="46"/>
  <c r="AD21" i="46"/>
  <c r="AC21" i="46"/>
  <c r="AB21" i="46"/>
  <c r="AA21" i="46"/>
  <c r="Z21" i="46"/>
  <c r="Y21" i="46"/>
  <c r="X21" i="46"/>
  <c r="W21" i="46"/>
  <c r="V21" i="46"/>
  <c r="V40" i="46" s="1"/>
  <c r="U21" i="46"/>
  <c r="T21" i="46"/>
  <c r="S21" i="46"/>
  <c r="R21" i="46"/>
  <c r="Q21" i="46"/>
  <c r="P21" i="46"/>
  <c r="O21" i="46"/>
  <c r="N21" i="46"/>
  <c r="M21" i="46"/>
  <c r="L21" i="46"/>
  <c r="K21" i="46"/>
  <c r="J21" i="46"/>
  <c r="I21" i="46"/>
  <c r="H21" i="46"/>
  <c r="G21" i="46"/>
  <c r="F21" i="46"/>
  <c r="E21" i="46"/>
  <c r="E40" i="46" s="1"/>
  <c r="C21" i="46"/>
  <c r="B21" i="46"/>
  <c r="AS20" i="46"/>
  <c r="AR20" i="46"/>
  <c r="AQ20" i="46"/>
  <c r="AP20" i="46"/>
  <c r="AO20" i="46"/>
  <c r="AN20" i="46"/>
  <c r="AM20" i="46"/>
  <c r="AL20" i="46"/>
  <c r="AK20" i="46"/>
  <c r="AJ20" i="46"/>
  <c r="AI20" i="46"/>
  <c r="AH20" i="46"/>
  <c r="AG20" i="46"/>
  <c r="AF20" i="46"/>
  <c r="AE20" i="46"/>
  <c r="AD20" i="46"/>
  <c r="AC20" i="46"/>
  <c r="AB20" i="46"/>
  <c r="AA20" i="46"/>
  <c r="Z20" i="46"/>
  <c r="Y20" i="46"/>
  <c r="X20" i="46"/>
  <c r="W20" i="46"/>
  <c r="V20" i="46"/>
  <c r="V39" i="46" s="1"/>
  <c r="U20" i="46"/>
  <c r="T20" i="46"/>
  <c r="S20" i="46"/>
  <c r="R20" i="46"/>
  <c r="Q20" i="46"/>
  <c r="P20" i="46"/>
  <c r="O20" i="46"/>
  <c r="N20" i="46"/>
  <c r="M20" i="46"/>
  <c r="L20" i="46"/>
  <c r="K20" i="46"/>
  <c r="J20" i="46"/>
  <c r="I20" i="46"/>
  <c r="H20" i="46"/>
  <c r="G20" i="46"/>
  <c r="F20" i="46"/>
  <c r="E20" i="46"/>
  <c r="E39" i="46" s="1"/>
  <c r="C20" i="46"/>
  <c r="B20" i="46"/>
  <c r="AS19" i="46"/>
  <c r="AR19" i="46"/>
  <c r="AQ19" i="46"/>
  <c r="AP19" i="46"/>
  <c r="AO19" i="46"/>
  <c r="AN19" i="46"/>
  <c r="AM19" i="46"/>
  <c r="AL19" i="46"/>
  <c r="AK19" i="46"/>
  <c r="AJ19" i="46"/>
  <c r="AI19" i="46"/>
  <c r="AH19" i="46"/>
  <c r="AG19" i="46"/>
  <c r="AF19" i="46"/>
  <c r="AE19" i="46"/>
  <c r="AD19" i="46"/>
  <c r="AC19" i="46"/>
  <c r="AB19" i="46"/>
  <c r="AA19" i="46"/>
  <c r="Z19" i="46"/>
  <c r="Y19" i="46"/>
  <c r="X19" i="46"/>
  <c r="W19" i="46"/>
  <c r="V19" i="46"/>
  <c r="V38" i="46" s="1"/>
  <c r="U19" i="46"/>
  <c r="T19" i="46"/>
  <c r="S19" i="46"/>
  <c r="R19" i="46"/>
  <c r="Q19" i="46"/>
  <c r="P19" i="46"/>
  <c r="O19" i="46"/>
  <c r="N19" i="46"/>
  <c r="M19" i="46"/>
  <c r="L19" i="46"/>
  <c r="K19" i="46"/>
  <c r="J19" i="46"/>
  <c r="I19" i="46"/>
  <c r="H19" i="46"/>
  <c r="G19" i="46"/>
  <c r="F19" i="46"/>
  <c r="E19" i="46"/>
  <c r="E38" i="46" s="1"/>
  <c r="C19" i="46"/>
  <c r="B19" i="46"/>
  <c r="AS18" i="46"/>
  <c r="AR18" i="46"/>
  <c r="AQ18" i="46"/>
  <c r="AP18" i="46"/>
  <c r="AO18" i="46"/>
  <c r="AN18" i="46"/>
  <c r="AM18" i="46"/>
  <c r="AL18" i="46"/>
  <c r="AK18" i="46"/>
  <c r="AJ18" i="46"/>
  <c r="AI18" i="46"/>
  <c r="AH18" i="46"/>
  <c r="AG18" i="46"/>
  <c r="AF18" i="46"/>
  <c r="AE18" i="46"/>
  <c r="AD18" i="46"/>
  <c r="AC18" i="46"/>
  <c r="AB18" i="46"/>
  <c r="AA18" i="46"/>
  <c r="Z18" i="46"/>
  <c r="Y18" i="46"/>
  <c r="X18" i="46"/>
  <c r="W18" i="46"/>
  <c r="V18" i="46"/>
  <c r="V37" i="46" s="1"/>
  <c r="U18" i="46"/>
  <c r="S18" i="46"/>
  <c r="R18" i="46"/>
  <c r="Q18" i="46"/>
  <c r="P18" i="46"/>
  <c r="O18" i="46"/>
  <c r="N18" i="46"/>
  <c r="M18" i="46"/>
  <c r="L18" i="46"/>
  <c r="K18" i="46"/>
  <c r="J18" i="46"/>
  <c r="I18" i="46"/>
  <c r="H18" i="46"/>
  <c r="G18" i="46"/>
  <c r="F18" i="46"/>
  <c r="E18" i="46"/>
  <c r="E37" i="46" s="1"/>
  <c r="C18" i="46"/>
  <c r="B18" i="46"/>
  <c r="AS17" i="46"/>
  <c r="AR17" i="46"/>
  <c r="AQ17" i="46"/>
  <c r="AP17" i="46"/>
  <c r="AO17" i="46"/>
  <c r="AN17" i="46"/>
  <c r="AM17" i="46"/>
  <c r="AL17" i="46"/>
  <c r="AK17" i="46"/>
  <c r="AJ17" i="46"/>
  <c r="AI17" i="46"/>
  <c r="AH17" i="46"/>
  <c r="AG17" i="46"/>
  <c r="AF17" i="46"/>
  <c r="AE17" i="46"/>
  <c r="AD17" i="46"/>
  <c r="AC17" i="46"/>
  <c r="AB17" i="46"/>
  <c r="AA17" i="46"/>
  <c r="Z17" i="46"/>
  <c r="Y17" i="46"/>
  <c r="X17" i="46"/>
  <c r="W17" i="46"/>
  <c r="V17" i="46"/>
  <c r="V36" i="46" s="1"/>
  <c r="U17" i="46"/>
  <c r="S17" i="46"/>
  <c r="R17" i="46"/>
  <c r="Q17" i="46"/>
  <c r="P17" i="46"/>
  <c r="O17" i="46"/>
  <c r="N17" i="46"/>
  <c r="M17" i="46"/>
  <c r="L17" i="46"/>
  <c r="K17" i="46"/>
  <c r="J17" i="46"/>
  <c r="I17" i="46"/>
  <c r="H17" i="46"/>
  <c r="G17" i="46"/>
  <c r="F17" i="46"/>
  <c r="E17" i="46"/>
  <c r="E36" i="46" s="1"/>
  <c r="C17" i="46"/>
  <c r="B17" i="46"/>
  <c r="AS16" i="46"/>
  <c r="AR16" i="46"/>
  <c r="AQ16" i="46"/>
  <c r="AP16" i="46"/>
  <c r="AO16" i="46"/>
  <c r="AN16" i="46"/>
  <c r="AM16" i="46"/>
  <c r="AL16" i="46"/>
  <c r="AK16" i="46"/>
  <c r="AJ16" i="46"/>
  <c r="AI16" i="46"/>
  <c r="AH16" i="46"/>
  <c r="AG16" i="46"/>
  <c r="AF16" i="46"/>
  <c r="AE16" i="46"/>
  <c r="AD16" i="46"/>
  <c r="AC16" i="46"/>
  <c r="AB16" i="46"/>
  <c r="AA16" i="46"/>
  <c r="Z16" i="46"/>
  <c r="Y16" i="46"/>
  <c r="X16" i="46"/>
  <c r="W16" i="46"/>
  <c r="V16" i="46"/>
  <c r="V35" i="46" s="1"/>
  <c r="U16" i="46"/>
  <c r="S16" i="46"/>
  <c r="R16" i="46"/>
  <c r="Q16" i="46"/>
  <c r="P16" i="46"/>
  <c r="O16" i="46"/>
  <c r="N16" i="46"/>
  <c r="M16" i="46"/>
  <c r="L16" i="46"/>
  <c r="K16" i="46"/>
  <c r="J16" i="46"/>
  <c r="I16" i="46"/>
  <c r="H16" i="46"/>
  <c r="G16" i="46"/>
  <c r="F16" i="46"/>
  <c r="E16" i="46"/>
  <c r="E35" i="46" s="1"/>
  <c r="C16" i="46"/>
  <c r="B16" i="46"/>
  <c r="AS15" i="46"/>
  <c r="AR15" i="46"/>
  <c r="AQ15" i="46"/>
  <c r="AP15" i="46"/>
  <c r="AO15" i="46"/>
  <c r="AN15" i="46"/>
  <c r="AM15" i="46"/>
  <c r="AL15" i="46"/>
  <c r="AK15" i="46"/>
  <c r="AJ15" i="46"/>
  <c r="AI15" i="46"/>
  <c r="AH15" i="46"/>
  <c r="AG15" i="46"/>
  <c r="AF15" i="46"/>
  <c r="AE15" i="46"/>
  <c r="AD15" i="46"/>
  <c r="AC15" i="46"/>
  <c r="AB15" i="46"/>
  <c r="AA15" i="46"/>
  <c r="Z15" i="46"/>
  <c r="Y15" i="46"/>
  <c r="X15" i="46"/>
  <c r="W15" i="46"/>
  <c r="V15" i="46"/>
  <c r="V34" i="46" s="1"/>
  <c r="U15" i="46"/>
  <c r="S15" i="46"/>
  <c r="R15" i="46"/>
  <c r="Q15" i="46"/>
  <c r="P15" i="46"/>
  <c r="O15" i="46"/>
  <c r="N15" i="46"/>
  <c r="M15" i="46"/>
  <c r="L15" i="46"/>
  <c r="K15" i="46"/>
  <c r="J15" i="46"/>
  <c r="I15" i="46"/>
  <c r="H15" i="46"/>
  <c r="G15" i="46"/>
  <c r="F15" i="46"/>
  <c r="E15" i="46"/>
  <c r="E34" i="46" s="1"/>
  <c r="C15" i="46"/>
  <c r="B15" i="46"/>
  <c r="AS14" i="46"/>
  <c r="AR14" i="46"/>
  <c r="AQ14" i="46"/>
  <c r="AP14" i="46"/>
  <c r="AO14" i="46"/>
  <c r="AN14" i="46"/>
  <c r="AM14" i="46"/>
  <c r="AL14" i="46"/>
  <c r="AK14" i="46"/>
  <c r="AJ14" i="46"/>
  <c r="AI14" i="46"/>
  <c r="AH14" i="46"/>
  <c r="AG14" i="46"/>
  <c r="AF14" i="46"/>
  <c r="AE14" i="46"/>
  <c r="AD14" i="46"/>
  <c r="AC14" i="46"/>
  <c r="AB14" i="46"/>
  <c r="AA14" i="46"/>
  <c r="Z14" i="46"/>
  <c r="Y14" i="46"/>
  <c r="X14" i="46"/>
  <c r="W14" i="46"/>
  <c r="V14" i="46"/>
  <c r="V33" i="46" s="1"/>
  <c r="U14" i="46"/>
  <c r="S14" i="46"/>
  <c r="R14" i="46"/>
  <c r="Q14" i="46"/>
  <c r="P14" i="46"/>
  <c r="O14" i="46"/>
  <c r="N14" i="46"/>
  <c r="M14" i="46"/>
  <c r="L14" i="46"/>
  <c r="K14" i="46"/>
  <c r="J14" i="46"/>
  <c r="I14" i="46"/>
  <c r="H14" i="46"/>
  <c r="G14" i="46"/>
  <c r="F14" i="46"/>
  <c r="E14" i="46"/>
  <c r="E33" i="46" s="1"/>
  <c r="C14" i="46"/>
  <c r="B14" i="46"/>
  <c r="AS13" i="46"/>
  <c r="AR13" i="46"/>
  <c r="AQ13" i="46"/>
  <c r="AP13" i="46"/>
  <c r="AO13" i="46"/>
  <c r="AN13" i="46"/>
  <c r="AM13" i="46"/>
  <c r="AL13" i="46"/>
  <c r="AK13" i="46"/>
  <c r="AJ13" i="46"/>
  <c r="AI13" i="46"/>
  <c r="AH13" i="46"/>
  <c r="AG13" i="46"/>
  <c r="AF13" i="46"/>
  <c r="AE13" i="46"/>
  <c r="AD13" i="46"/>
  <c r="AC13" i="46"/>
  <c r="AB13" i="46"/>
  <c r="AA13" i="46"/>
  <c r="Z13" i="46"/>
  <c r="Y13" i="46"/>
  <c r="X13" i="46"/>
  <c r="W13" i="46"/>
  <c r="V13" i="46"/>
  <c r="V32" i="46" s="1"/>
  <c r="U13" i="46"/>
  <c r="S13" i="46"/>
  <c r="R13" i="46"/>
  <c r="Q13" i="46"/>
  <c r="P13" i="46"/>
  <c r="O13" i="46"/>
  <c r="N13" i="46"/>
  <c r="M13" i="46"/>
  <c r="L13" i="46"/>
  <c r="K13" i="46"/>
  <c r="J13" i="46"/>
  <c r="I13" i="46"/>
  <c r="H13" i="46"/>
  <c r="G13" i="46"/>
  <c r="F13" i="46"/>
  <c r="E13" i="46"/>
  <c r="E32" i="46" s="1"/>
  <c r="C13" i="46"/>
  <c r="B13" i="46"/>
  <c r="AS12" i="46"/>
  <c r="AR12" i="46"/>
  <c r="AQ12" i="46"/>
  <c r="AP12" i="46"/>
  <c r="AO12" i="46"/>
  <c r="AN12" i="46"/>
  <c r="AM12" i="46"/>
  <c r="AL12" i="46"/>
  <c r="AK12" i="46"/>
  <c r="AJ12" i="46"/>
  <c r="AI12" i="46"/>
  <c r="AH12" i="46"/>
  <c r="AG12" i="46"/>
  <c r="AF12" i="46"/>
  <c r="AE12" i="46"/>
  <c r="AD12" i="46"/>
  <c r="AC12" i="46"/>
  <c r="AB12" i="46"/>
  <c r="AA12" i="46"/>
  <c r="Z12" i="46"/>
  <c r="Y12" i="46"/>
  <c r="X12" i="46"/>
  <c r="W12" i="46"/>
  <c r="V12" i="46"/>
  <c r="V31" i="46" s="1"/>
  <c r="U12" i="46"/>
  <c r="S12" i="46"/>
  <c r="Q12" i="46"/>
  <c r="P12" i="46"/>
  <c r="N12" i="46"/>
  <c r="M12" i="46"/>
  <c r="L12" i="46"/>
  <c r="K12" i="46"/>
  <c r="I12" i="46"/>
  <c r="F12" i="46"/>
  <c r="E12" i="46"/>
  <c r="E31" i="46" s="1"/>
  <c r="C12" i="46"/>
  <c r="B12" i="46"/>
  <c r="AS11" i="46"/>
  <c r="AR11" i="46"/>
  <c r="AQ11" i="46"/>
  <c r="AP11" i="46"/>
  <c r="AO11" i="46"/>
  <c r="AN11" i="46"/>
  <c r="AM11" i="46"/>
  <c r="AL11" i="46"/>
  <c r="AK11" i="46"/>
  <c r="AJ11" i="46"/>
  <c r="AI11" i="46"/>
  <c r="AH11" i="46"/>
  <c r="AG11" i="46"/>
  <c r="AF11" i="46"/>
  <c r="AE11" i="46"/>
  <c r="AD11" i="46"/>
  <c r="AC11" i="46"/>
  <c r="AB11" i="46"/>
  <c r="AA11" i="46"/>
  <c r="Z11" i="46"/>
  <c r="Y11" i="46"/>
  <c r="X11" i="46"/>
  <c r="W11" i="46"/>
  <c r="V11" i="46"/>
  <c r="V30" i="46" s="1"/>
  <c r="U11" i="46"/>
  <c r="S11" i="46"/>
  <c r="Q11" i="46"/>
  <c r="P11" i="46"/>
  <c r="N11" i="46"/>
  <c r="M11" i="46"/>
  <c r="L11" i="46"/>
  <c r="K11" i="46"/>
  <c r="I11" i="46"/>
  <c r="F11" i="46"/>
  <c r="E11" i="46"/>
  <c r="E30" i="46" s="1"/>
  <c r="C11" i="46"/>
  <c r="B11" i="46"/>
  <c r="AS10" i="46"/>
  <c r="AR10" i="46"/>
  <c r="AQ10" i="46"/>
  <c r="AP10" i="46"/>
  <c r="AO10" i="46"/>
  <c r="AN10" i="46"/>
  <c r="AM10" i="46"/>
  <c r="AL10" i="46"/>
  <c r="AK10" i="46"/>
  <c r="AJ10" i="46"/>
  <c r="AI10" i="46"/>
  <c r="AH10" i="46"/>
  <c r="AG10" i="46"/>
  <c r="AF10" i="46"/>
  <c r="AE10" i="46"/>
  <c r="AD10" i="46"/>
  <c r="AC10" i="46"/>
  <c r="AB10" i="46"/>
  <c r="AA10" i="46"/>
  <c r="Z10" i="46"/>
  <c r="Y10" i="46"/>
  <c r="X10" i="46"/>
  <c r="W10" i="46"/>
  <c r="V10" i="46"/>
  <c r="V29" i="46" s="1"/>
  <c r="U10" i="46"/>
  <c r="S10" i="46"/>
  <c r="Q10" i="46"/>
  <c r="P10" i="46"/>
  <c r="N10" i="46"/>
  <c r="M10" i="46"/>
  <c r="L10" i="46"/>
  <c r="K10" i="46"/>
  <c r="I10" i="46"/>
  <c r="F10" i="46"/>
  <c r="E10" i="46"/>
  <c r="E29" i="46" s="1"/>
  <c r="C10" i="46"/>
  <c r="B10" i="46"/>
  <c r="AS9" i="46"/>
  <c r="AR9" i="46"/>
  <c r="AQ9" i="46"/>
  <c r="AP9" i="46"/>
  <c r="AO9" i="46"/>
  <c r="AN9" i="46"/>
  <c r="AM9" i="46"/>
  <c r="AL9" i="46"/>
  <c r="AK9" i="46"/>
  <c r="AJ9" i="46"/>
  <c r="AI9" i="46"/>
  <c r="AH9" i="46"/>
  <c r="AG9" i="46"/>
  <c r="AF9" i="46"/>
  <c r="AE9" i="46"/>
  <c r="AD9" i="46"/>
  <c r="AC9" i="46"/>
  <c r="AB9" i="46"/>
  <c r="AA9" i="46"/>
  <c r="Z9" i="46"/>
  <c r="Y9" i="46"/>
  <c r="X9" i="46"/>
  <c r="W9" i="46"/>
  <c r="V9" i="46"/>
  <c r="V28" i="46" s="1"/>
  <c r="U9" i="46"/>
  <c r="S9" i="46"/>
  <c r="Q9" i="46"/>
  <c r="P9" i="46"/>
  <c r="N9" i="46"/>
  <c r="M9" i="46"/>
  <c r="L9" i="46"/>
  <c r="K9" i="46"/>
  <c r="I9" i="46"/>
  <c r="F9" i="46"/>
  <c r="E9" i="46"/>
  <c r="E28" i="46" s="1"/>
  <c r="B9" i="46"/>
  <c r="AS8" i="46"/>
  <c r="AR8" i="46"/>
  <c r="AQ8" i="46"/>
  <c r="AP8" i="46"/>
  <c r="AO8" i="46"/>
  <c r="AN8" i="46"/>
  <c r="AM8" i="46"/>
  <c r="AL8" i="46"/>
  <c r="AK8" i="46"/>
  <c r="AJ8" i="46"/>
  <c r="AI8" i="46"/>
  <c r="AH8" i="46"/>
  <c r="AG8" i="46"/>
  <c r="AF8" i="46"/>
  <c r="AE8" i="46"/>
  <c r="AD8" i="46"/>
  <c r="AC8" i="46"/>
  <c r="AB8" i="46"/>
  <c r="AA8" i="46"/>
  <c r="Z8" i="46"/>
  <c r="Y8" i="46"/>
  <c r="X8" i="46"/>
  <c r="W8" i="46"/>
  <c r="V8" i="46"/>
  <c r="V27" i="46" s="1"/>
  <c r="U8" i="46"/>
  <c r="S8" i="46"/>
  <c r="Q8" i="46"/>
  <c r="P8" i="46"/>
  <c r="N8" i="46"/>
  <c r="M8" i="46"/>
  <c r="L8" i="46"/>
  <c r="K8" i="46"/>
  <c r="I8" i="46"/>
  <c r="F8" i="46"/>
  <c r="E8" i="46"/>
  <c r="E27" i="46" s="1"/>
  <c r="B8" i="46"/>
  <c r="AS7" i="46"/>
  <c r="AR7" i="46"/>
  <c r="AQ7" i="46"/>
  <c r="AP7" i="46"/>
  <c r="AO7" i="46"/>
  <c r="AN7" i="46"/>
  <c r="AM7" i="46"/>
  <c r="AL7" i="46"/>
  <c r="AK7" i="46"/>
  <c r="AJ7" i="46"/>
  <c r="AI7" i="46"/>
  <c r="AH7" i="46"/>
  <c r="AG7" i="46"/>
  <c r="AF7" i="46"/>
  <c r="AE7" i="46"/>
  <c r="AD7" i="46"/>
  <c r="AC7" i="46"/>
  <c r="AB7" i="46"/>
  <c r="AA7" i="46"/>
  <c r="Z7" i="46"/>
  <c r="Y7" i="46"/>
  <c r="X7" i="46"/>
  <c r="W7" i="46"/>
  <c r="V7" i="46"/>
  <c r="V26" i="46" s="1"/>
  <c r="U7" i="46"/>
  <c r="S7" i="46"/>
  <c r="Q7" i="46"/>
  <c r="P7" i="46"/>
  <c r="N7" i="46"/>
  <c r="L7" i="46"/>
  <c r="K7" i="46"/>
  <c r="I7" i="46"/>
  <c r="F7" i="46"/>
  <c r="E7" i="46"/>
  <c r="E26" i="46" s="1"/>
  <c r="B7" i="46"/>
  <c r="AS6" i="46"/>
  <c r="AR6" i="46"/>
  <c r="AQ6" i="46"/>
  <c r="AP6" i="46"/>
  <c r="AO6" i="46"/>
  <c r="AN6" i="46"/>
  <c r="AM6" i="46"/>
  <c r="AL6" i="46"/>
  <c r="AK6" i="46"/>
  <c r="AJ6" i="46"/>
  <c r="AI6" i="46"/>
  <c r="AH6" i="46"/>
  <c r="AG6" i="46"/>
  <c r="AF6" i="46"/>
  <c r="AE6" i="46"/>
  <c r="AD6" i="46"/>
  <c r="AC6" i="46"/>
  <c r="AB6" i="46"/>
  <c r="AA6" i="46"/>
  <c r="Z6" i="46"/>
  <c r="Y6" i="46"/>
  <c r="X6" i="46"/>
  <c r="W6" i="46"/>
  <c r="V6" i="46"/>
  <c r="V25" i="46" s="1"/>
  <c r="U6" i="46"/>
  <c r="S6" i="46"/>
  <c r="Q6" i="46"/>
  <c r="N6" i="46"/>
  <c r="L6" i="46"/>
  <c r="K6" i="46"/>
  <c r="I6" i="46"/>
  <c r="F6" i="46"/>
  <c r="E6" i="46"/>
  <c r="E25" i="46" s="1"/>
  <c r="B6" i="46"/>
  <c r="C50" i="46" s="1"/>
  <c r="AO38" i="46" l="1"/>
  <c r="BA42" i="46"/>
  <c r="AG26" i="46"/>
  <c r="AC27" i="46"/>
  <c r="D55" i="46"/>
  <c r="E55" i="46" s="1"/>
  <c r="D57" i="46"/>
  <c r="E57" i="46" s="1"/>
  <c r="AZ42" i="46"/>
  <c r="V42" i="46"/>
  <c r="AX42" i="46"/>
  <c r="AW42" i="46"/>
  <c r="AY42" i="46"/>
  <c r="D61" i="46"/>
  <c r="E61" i="46" s="1"/>
  <c r="F32" i="46"/>
  <c r="AU32" i="46" s="1"/>
  <c r="AJ39" i="46"/>
  <c r="AD30" i="46"/>
  <c r="AL34" i="46"/>
  <c r="AD28" i="46"/>
  <c r="M35" i="46"/>
  <c r="AQ33" i="46"/>
  <c r="AR30" i="46"/>
  <c r="S38" i="46"/>
  <c r="AD25" i="46"/>
  <c r="AJ36" i="46"/>
  <c r="B25" i="46"/>
  <c r="D52" i="46"/>
  <c r="E52" i="46" s="1"/>
  <c r="D63" i="46"/>
  <c r="E63" i="46" s="1"/>
  <c r="U27" i="46"/>
  <c r="Q34" i="46"/>
  <c r="D59" i="46"/>
  <c r="E59" i="46" s="1"/>
  <c r="W35" i="46"/>
  <c r="P30" i="46"/>
  <c r="AR31" i="46"/>
  <c r="AN31" i="46"/>
  <c r="AJ31" i="46"/>
  <c r="AF31" i="46"/>
  <c r="AB31" i="46"/>
  <c r="X31" i="46"/>
  <c r="P31" i="46"/>
  <c r="AO31" i="46"/>
  <c r="AI31" i="46"/>
  <c r="AD31" i="46"/>
  <c r="Y31" i="46"/>
  <c r="S31" i="46"/>
  <c r="N31" i="46"/>
  <c r="I31" i="46"/>
  <c r="AS31" i="46"/>
  <c r="AM31" i="46"/>
  <c r="AH31" i="46"/>
  <c r="AC31" i="46"/>
  <c r="W31" i="46"/>
  <c r="AL31" i="46"/>
  <c r="AA31" i="46"/>
  <c r="Q31" i="46"/>
  <c r="AK31" i="46"/>
  <c r="Z31" i="46"/>
  <c r="AQ31" i="46"/>
  <c r="AG31" i="46"/>
  <c r="M31" i="46"/>
  <c r="F31" i="46"/>
  <c r="AU31" i="46" s="1"/>
  <c r="U31" i="46"/>
  <c r="AP31" i="46"/>
  <c r="AE31" i="46"/>
  <c r="AP29" i="46"/>
  <c r="AL29" i="46"/>
  <c r="AH29" i="46"/>
  <c r="AD29" i="46"/>
  <c r="Z29" i="46"/>
  <c r="N29" i="46"/>
  <c r="F29" i="46"/>
  <c r="AT29" i="46" s="1"/>
  <c r="AR29" i="46"/>
  <c r="AM29" i="46"/>
  <c r="AG29" i="46"/>
  <c r="AB29" i="46"/>
  <c r="W29" i="46"/>
  <c r="Q29" i="46"/>
  <c r="AO29" i="46"/>
  <c r="AI29" i="46"/>
  <c r="AA29" i="46"/>
  <c r="M29" i="46"/>
  <c r="AN29" i="46"/>
  <c r="AF29" i="46"/>
  <c r="Y29" i="46"/>
  <c r="S29" i="46"/>
  <c r="AS29" i="46"/>
  <c r="AK29" i="46"/>
  <c r="AE29" i="46"/>
  <c r="X29" i="46"/>
  <c r="P29" i="46"/>
  <c r="I29" i="46"/>
  <c r="AP37" i="46"/>
  <c r="AL37" i="46"/>
  <c r="AH37" i="46"/>
  <c r="AD37" i="46"/>
  <c r="Z37" i="46"/>
  <c r="R37" i="46"/>
  <c r="N37" i="46"/>
  <c r="J37" i="46"/>
  <c r="F37" i="46"/>
  <c r="AV37" i="46" s="1"/>
  <c r="AR37" i="46"/>
  <c r="AM37" i="46"/>
  <c r="AG37" i="46"/>
  <c r="AB37" i="46"/>
  <c r="W37" i="46"/>
  <c r="Q37" i="46"/>
  <c r="G37" i="46"/>
  <c r="AQ37" i="46"/>
  <c r="AK37" i="46"/>
  <c r="AF37" i="46"/>
  <c r="AA37" i="46"/>
  <c r="U37" i="46"/>
  <c r="P37" i="46"/>
  <c r="AJ37" i="46"/>
  <c r="Y37" i="46"/>
  <c r="O37" i="46"/>
  <c r="AS37" i="46"/>
  <c r="AI37" i="46"/>
  <c r="X37" i="46"/>
  <c r="M37" i="46"/>
  <c r="AO37" i="46"/>
  <c r="AE37" i="46"/>
  <c r="I37" i="46"/>
  <c r="Y25" i="46"/>
  <c r="C51" i="46"/>
  <c r="B26" i="46"/>
  <c r="AS28" i="46"/>
  <c r="AO28" i="46"/>
  <c r="AK28" i="46"/>
  <c r="AG28" i="46"/>
  <c r="AC28" i="46"/>
  <c r="Y28" i="46"/>
  <c r="U28" i="46"/>
  <c r="Q28" i="46"/>
  <c r="M28" i="46"/>
  <c r="I28" i="46"/>
  <c r="AR28" i="46"/>
  <c r="AM28" i="46"/>
  <c r="AH28" i="46"/>
  <c r="AB28" i="46"/>
  <c r="W28" i="46"/>
  <c r="AP28" i="46"/>
  <c r="AI28" i="46"/>
  <c r="AA28" i="46"/>
  <c r="N28" i="46"/>
  <c r="F28" i="46"/>
  <c r="AT28" i="46" s="1"/>
  <c r="AN28" i="46"/>
  <c r="AF28" i="46"/>
  <c r="Z28" i="46"/>
  <c r="S28" i="46"/>
  <c r="AL28" i="46"/>
  <c r="AE28" i="46"/>
  <c r="X28" i="46"/>
  <c r="P28" i="46"/>
  <c r="C55" i="46"/>
  <c r="B30" i="46"/>
  <c r="AS32" i="46"/>
  <c r="AO32" i="46"/>
  <c r="AK32" i="46"/>
  <c r="AG32" i="46"/>
  <c r="AC32" i="46"/>
  <c r="Y32" i="46"/>
  <c r="U32" i="46"/>
  <c r="Q32" i="46"/>
  <c r="M32" i="46"/>
  <c r="I32" i="46"/>
  <c r="AP32" i="46"/>
  <c r="AJ32" i="46"/>
  <c r="AE32" i="46"/>
  <c r="Z32" i="46"/>
  <c r="O32" i="46"/>
  <c r="J32" i="46"/>
  <c r="AN32" i="46"/>
  <c r="AI32" i="46"/>
  <c r="AD32" i="46"/>
  <c r="X32" i="46"/>
  <c r="S32" i="46"/>
  <c r="N32" i="46"/>
  <c r="H32" i="46"/>
  <c r="AR32" i="46"/>
  <c r="AH32" i="46"/>
  <c r="W32" i="46"/>
  <c r="AQ32" i="46"/>
  <c r="AF32" i="46"/>
  <c r="AM32" i="46"/>
  <c r="AB32" i="46"/>
  <c r="R32" i="46"/>
  <c r="G32" i="46"/>
  <c r="C59" i="46"/>
  <c r="B34" i="46"/>
  <c r="AS36" i="46"/>
  <c r="AO36" i="46"/>
  <c r="AK36" i="46"/>
  <c r="AG36" i="46"/>
  <c r="AC36" i="46"/>
  <c r="Y36" i="46"/>
  <c r="U36" i="46"/>
  <c r="Q36" i="46"/>
  <c r="M36" i="46"/>
  <c r="I36" i="46"/>
  <c r="AR36" i="46"/>
  <c r="AM36" i="46"/>
  <c r="AH36" i="46"/>
  <c r="AB36" i="46"/>
  <c r="W36" i="46"/>
  <c r="R36" i="46"/>
  <c r="G36" i="46"/>
  <c r="AQ36" i="46"/>
  <c r="AL36" i="46"/>
  <c r="AF36" i="46"/>
  <c r="AA36" i="46"/>
  <c r="P36" i="46"/>
  <c r="F36" i="46"/>
  <c r="AT36" i="46" s="1"/>
  <c r="AI36" i="46"/>
  <c r="X36" i="46"/>
  <c r="N36" i="46"/>
  <c r="AP36" i="46"/>
  <c r="AE36" i="46"/>
  <c r="J36" i="46"/>
  <c r="AN36" i="46"/>
  <c r="AD36" i="46"/>
  <c r="S36" i="46"/>
  <c r="H36" i="46"/>
  <c r="C63" i="46"/>
  <c r="B38" i="46"/>
  <c r="AP40" i="46"/>
  <c r="AL40" i="46"/>
  <c r="AH40" i="46"/>
  <c r="AD40" i="46"/>
  <c r="Z40" i="46"/>
  <c r="R40" i="46"/>
  <c r="N40" i="46"/>
  <c r="J40" i="46"/>
  <c r="F40" i="46"/>
  <c r="AU40" i="46" s="1"/>
  <c r="AR40" i="46"/>
  <c r="AN40" i="46"/>
  <c r="AJ40" i="46"/>
  <c r="AF40" i="46"/>
  <c r="AB40" i="46"/>
  <c r="X40" i="46"/>
  <c r="T40" i="46"/>
  <c r="P40" i="46"/>
  <c r="H40" i="46"/>
  <c r="AS40" i="46"/>
  <c r="AK40" i="46"/>
  <c r="AC40" i="46"/>
  <c r="U40" i="46"/>
  <c r="M40" i="46"/>
  <c r="AI40" i="46"/>
  <c r="Y40" i="46"/>
  <c r="O40" i="46"/>
  <c r="AQ40" i="46"/>
  <c r="AG40" i="46"/>
  <c r="W40" i="46"/>
  <c r="AO40" i="46"/>
  <c r="S40" i="46"/>
  <c r="AM40" i="46"/>
  <c r="Q40" i="46"/>
  <c r="AE40" i="46"/>
  <c r="I40" i="46"/>
  <c r="I25" i="46"/>
  <c r="Y26" i="46"/>
  <c r="AJ28" i="46"/>
  <c r="AQ29" i="46"/>
  <c r="P32" i="46"/>
  <c r="AB34" i="46"/>
  <c r="AC37" i="46"/>
  <c r="E42" i="46"/>
  <c r="E43" i="46" s="1"/>
  <c r="AR25" i="46"/>
  <c r="AN25" i="46"/>
  <c r="AJ25" i="46"/>
  <c r="AF25" i="46"/>
  <c r="AB25" i="46"/>
  <c r="X25" i="46"/>
  <c r="AS25" i="46"/>
  <c r="AM25" i="46"/>
  <c r="AH25" i="46"/>
  <c r="AC25" i="46"/>
  <c r="W25" i="46"/>
  <c r="AQ25" i="46"/>
  <c r="AL25" i="46"/>
  <c r="AG25" i="46"/>
  <c r="AA25" i="46"/>
  <c r="Q25" i="46"/>
  <c r="F25" i="46"/>
  <c r="AP25" i="46"/>
  <c r="AK25" i="46"/>
  <c r="AE25" i="46"/>
  <c r="Z25" i="46"/>
  <c r="U25" i="46"/>
  <c r="C56" i="46"/>
  <c r="B31" i="46"/>
  <c r="AP33" i="46"/>
  <c r="AL33" i="46"/>
  <c r="AH33" i="46"/>
  <c r="AD33" i="46"/>
  <c r="Z33" i="46"/>
  <c r="R33" i="46"/>
  <c r="N33" i="46"/>
  <c r="J33" i="46"/>
  <c r="F33" i="46"/>
  <c r="AV33" i="46" s="1"/>
  <c r="AO33" i="46"/>
  <c r="AJ33" i="46"/>
  <c r="AE33" i="46"/>
  <c r="Y33" i="46"/>
  <c r="O33" i="46"/>
  <c r="I33" i="46"/>
  <c r="AS33" i="46"/>
  <c r="AN33" i="46"/>
  <c r="AI33" i="46"/>
  <c r="AC33" i="46"/>
  <c r="X33" i="46"/>
  <c r="S33" i="46"/>
  <c r="M33" i="46"/>
  <c r="H33" i="46"/>
  <c r="AM33" i="46"/>
  <c r="AB33" i="46"/>
  <c r="Q33" i="46"/>
  <c r="G33" i="46"/>
  <c r="AK33" i="46"/>
  <c r="AA33" i="46"/>
  <c r="P33" i="46"/>
  <c r="AR33" i="46"/>
  <c r="AG33" i="46"/>
  <c r="W33" i="46"/>
  <c r="C64" i="46"/>
  <c r="B39" i="46"/>
  <c r="AF33" i="46"/>
  <c r="S37" i="46"/>
  <c r="AR27" i="46"/>
  <c r="AN27" i="46"/>
  <c r="AJ27" i="46"/>
  <c r="AF27" i="46"/>
  <c r="AB27" i="46"/>
  <c r="X27" i="46"/>
  <c r="P27" i="46"/>
  <c r="AQ27" i="46"/>
  <c r="AL27" i="46"/>
  <c r="AG27" i="46"/>
  <c r="AA27" i="46"/>
  <c r="Q27" i="46"/>
  <c r="F27" i="46"/>
  <c r="AU27" i="46" s="1"/>
  <c r="AO27" i="46"/>
  <c r="AH27" i="46"/>
  <c r="Z27" i="46"/>
  <c r="S27" i="46"/>
  <c r="M27" i="46"/>
  <c r="AM27" i="46"/>
  <c r="AE27" i="46"/>
  <c r="Y27" i="46"/>
  <c r="AS27" i="46"/>
  <c r="AK27" i="46"/>
  <c r="AD27" i="46"/>
  <c r="W27" i="46"/>
  <c r="I27" i="46"/>
  <c r="C54" i="46"/>
  <c r="B29" i="46"/>
  <c r="C58" i="46"/>
  <c r="B33" i="46"/>
  <c r="AR35" i="46"/>
  <c r="AN35" i="46"/>
  <c r="AJ35" i="46"/>
  <c r="AF35" i="46"/>
  <c r="AB35" i="46"/>
  <c r="X35" i="46"/>
  <c r="P35" i="46"/>
  <c r="H35" i="46"/>
  <c r="AQ35" i="46"/>
  <c r="AL35" i="46"/>
  <c r="AG35" i="46"/>
  <c r="AA35" i="46"/>
  <c r="Q35" i="46"/>
  <c r="F35" i="46"/>
  <c r="AU35" i="46" s="1"/>
  <c r="AP35" i="46"/>
  <c r="AK35" i="46"/>
  <c r="AE35" i="46"/>
  <c r="Z35" i="46"/>
  <c r="U35" i="46"/>
  <c r="O35" i="46"/>
  <c r="J35" i="46"/>
  <c r="AO35" i="46"/>
  <c r="AD35" i="46"/>
  <c r="S35" i="46"/>
  <c r="I35" i="46"/>
  <c r="AM35" i="46"/>
  <c r="AC35" i="46"/>
  <c r="R35" i="46"/>
  <c r="G35" i="46"/>
  <c r="AI35" i="46"/>
  <c r="Y35" i="46"/>
  <c r="N35" i="46"/>
  <c r="C62" i="46"/>
  <c r="B37" i="46"/>
  <c r="AS39" i="46"/>
  <c r="AO39" i="46"/>
  <c r="AK39" i="46"/>
  <c r="AG39" i="46"/>
  <c r="AC39" i="46"/>
  <c r="Y39" i="46"/>
  <c r="U39" i="46"/>
  <c r="Q39" i="46"/>
  <c r="M39" i="46"/>
  <c r="I39" i="46"/>
  <c r="AQ39" i="46"/>
  <c r="AM39" i="46"/>
  <c r="AI39" i="46"/>
  <c r="AE39" i="46"/>
  <c r="AA39" i="46"/>
  <c r="W39" i="46"/>
  <c r="S39" i="46"/>
  <c r="O39" i="46"/>
  <c r="G39" i="46"/>
  <c r="AL39" i="46"/>
  <c r="AD39" i="46"/>
  <c r="N39" i="46"/>
  <c r="F39" i="46"/>
  <c r="AU39" i="46" s="1"/>
  <c r="AP39" i="46"/>
  <c r="AF39" i="46"/>
  <c r="T39" i="46"/>
  <c r="J39" i="46"/>
  <c r="AN39" i="46"/>
  <c r="AB39" i="46"/>
  <c r="R39" i="46"/>
  <c r="H39" i="46"/>
  <c r="AH39" i="46"/>
  <c r="Z39" i="46"/>
  <c r="AR39" i="46"/>
  <c r="X39" i="46"/>
  <c r="N25" i="46"/>
  <c r="AI25" i="46"/>
  <c r="AI27" i="46"/>
  <c r="AQ28" i="46"/>
  <c r="U29" i="46"/>
  <c r="AA32" i="46"/>
  <c r="AH35" i="46"/>
  <c r="O36" i="46"/>
  <c r="AN37" i="46"/>
  <c r="G40" i="46"/>
  <c r="C52" i="46"/>
  <c r="B27" i="46"/>
  <c r="C60" i="46"/>
  <c r="B35" i="46"/>
  <c r="AJ29" i="46"/>
  <c r="AQ26" i="46"/>
  <c r="AM26" i="46"/>
  <c r="AI26" i="46"/>
  <c r="AE26" i="46"/>
  <c r="AA26" i="46"/>
  <c r="W26" i="46"/>
  <c r="S26" i="46"/>
  <c r="AP26" i="46"/>
  <c r="AK26" i="46"/>
  <c r="AF26" i="46"/>
  <c r="Z26" i="46"/>
  <c r="U26" i="46"/>
  <c r="P26" i="46"/>
  <c r="AS26" i="46"/>
  <c r="AL26" i="46"/>
  <c r="AD26" i="46"/>
  <c r="X26" i="46"/>
  <c r="Q26" i="46"/>
  <c r="I26" i="46"/>
  <c r="AR26" i="46"/>
  <c r="AJ26" i="46"/>
  <c r="AC26" i="46"/>
  <c r="N26" i="46"/>
  <c r="AO26" i="46"/>
  <c r="AH26" i="46"/>
  <c r="AB26" i="46"/>
  <c r="F26" i="46"/>
  <c r="AT26" i="46" s="1"/>
  <c r="C53" i="46"/>
  <c r="B28" i="46"/>
  <c r="AQ30" i="46"/>
  <c r="AM30" i="46"/>
  <c r="AI30" i="46"/>
  <c r="AE30" i="46"/>
  <c r="AA30" i="46"/>
  <c r="W30" i="46"/>
  <c r="S30" i="46"/>
  <c r="AS30" i="46"/>
  <c r="AN30" i="46"/>
  <c r="AH30" i="46"/>
  <c r="AC30" i="46"/>
  <c r="X30" i="46"/>
  <c r="M30" i="46"/>
  <c r="AP30" i="46"/>
  <c r="AJ30" i="46"/>
  <c r="AB30" i="46"/>
  <c r="U30" i="46"/>
  <c r="N30" i="46"/>
  <c r="F30" i="46"/>
  <c r="AT30" i="46" s="1"/>
  <c r="AO30" i="46"/>
  <c r="AG30" i="46"/>
  <c r="Z30" i="46"/>
  <c r="AL30" i="46"/>
  <c r="AF30" i="46"/>
  <c r="Y30" i="46"/>
  <c r="Q30" i="46"/>
  <c r="C57" i="46"/>
  <c r="B32" i="46"/>
  <c r="AQ34" i="46"/>
  <c r="AM34" i="46"/>
  <c r="AI34" i="46"/>
  <c r="AE34" i="46"/>
  <c r="AA34" i="46"/>
  <c r="W34" i="46"/>
  <c r="S34" i="46"/>
  <c r="O34" i="46"/>
  <c r="G34" i="46"/>
  <c r="AP34" i="46"/>
  <c r="AK34" i="46"/>
  <c r="AF34" i="46"/>
  <c r="Z34" i="46"/>
  <c r="U34" i="46"/>
  <c r="P34" i="46"/>
  <c r="J34" i="46"/>
  <c r="AO34" i="46"/>
  <c r="AJ34" i="46"/>
  <c r="AD34" i="46"/>
  <c r="Y34" i="46"/>
  <c r="N34" i="46"/>
  <c r="I34" i="46"/>
  <c r="AS34" i="46"/>
  <c r="AH34" i="46"/>
  <c r="X34" i="46"/>
  <c r="M34" i="46"/>
  <c r="AR34" i="46"/>
  <c r="AG34" i="46"/>
  <c r="AN34" i="46"/>
  <c r="AC34" i="46"/>
  <c r="R34" i="46"/>
  <c r="H34" i="46"/>
  <c r="C61" i="46"/>
  <c r="B36" i="46"/>
  <c r="AR38" i="46"/>
  <c r="AN38" i="46"/>
  <c r="AJ38" i="46"/>
  <c r="AF38" i="46"/>
  <c r="AB38" i="46"/>
  <c r="X38" i="46"/>
  <c r="T38" i="46"/>
  <c r="P38" i="46"/>
  <c r="H38" i="46"/>
  <c r="AP38" i="46"/>
  <c r="AL38" i="46"/>
  <c r="AH38" i="46"/>
  <c r="AD38" i="46"/>
  <c r="Z38" i="46"/>
  <c r="R38" i="46"/>
  <c r="N38" i="46"/>
  <c r="J38" i="46"/>
  <c r="F38" i="46"/>
  <c r="AT38" i="46" s="1"/>
  <c r="AS38" i="46"/>
  <c r="AK38" i="46"/>
  <c r="AC38" i="46"/>
  <c r="U38" i="46"/>
  <c r="M38" i="46"/>
  <c r="AI38" i="46"/>
  <c r="Y38" i="46"/>
  <c r="O38" i="46"/>
  <c r="AQ38" i="46"/>
  <c r="AG38" i="46"/>
  <c r="W38" i="46"/>
  <c r="AM38" i="46"/>
  <c r="Q38" i="46"/>
  <c r="AE38" i="46"/>
  <c r="I38" i="46"/>
  <c r="AA38" i="46"/>
  <c r="G38" i="46"/>
  <c r="C65" i="46"/>
  <c r="F65" i="46" s="1"/>
  <c r="B40" i="46"/>
  <c r="S25" i="46"/>
  <c r="AO25" i="46"/>
  <c r="AN26" i="46"/>
  <c r="N27" i="46"/>
  <c r="AP27" i="46"/>
  <c r="AC29" i="46"/>
  <c r="I30" i="46"/>
  <c r="AK30" i="46"/>
  <c r="AL32" i="46"/>
  <c r="U33" i="46"/>
  <c r="F34" i="46"/>
  <c r="AT34" i="46" s="1"/>
  <c r="AS35" i="46"/>
  <c r="Z36" i="46"/>
  <c r="H37" i="46"/>
  <c r="P39" i="46"/>
  <c r="AA40" i="46"/>
  <c r="E65" i="46"/>
  <c r="D53" i="46"/>
  <c r="D64" i="46"/>
  <c r="D62" i="46"/>
  <c r="D60" i="46"/>
  <c r="D58" i="46"/>
  <c r="D56" i="46"/>
  <c r="D54" i="46"/>
  <c r="D51" i="46"/>
  <c r="D50" i="46"/>
  <c r="F55" i="46" l="1"/>
  <c r="BA43" i="46"/>
  <c r="V43" i="46"/>
  <c r="AZ43" i="46"/>
  <c r="B43" i="46"/>
  <c r="BB43" i="46"/>
  <c r="BC43" i="46"/>
  <c r="AY43" i="46"/>
  <c r="AV25" i="46"/>
  <c r="F57" i="46"/>
  <c r="F63" i="46"/>
  <c r="D31" i="46"/>
  <c r="F61" i="46"/>
  <c r="AV26" i="46"/>
  <c r="AU25" i="46"/>
  <c r="AV38" i="46"/>
  <c r="AB42" i="46"/>
  <c r="AB43" i="46" s="1"/>
  <c r="AR42" i="46"/>
  <c r="AR43" i="46" s="1"/>
  <c r="AU36" i="46"/>
  <c r="AT40" i="46"/>
  <c r="AU30" i="46"/>
  <c r="AV30" i="46"/>
  <c r="AK42" i="46"/>
  <c r="AK43" i="46" s="1"/>
  <c r="AV34" i="46"/>
  <c r="AP42" i="46"/>
  <c r="AP43" i="46" s="1"/>
  <c r="AF42" i="46"/>
  <c r="AF43" i="46" s="1"/>
  <c r="L29" i="46"/>
  <c r="AU34" i="46"/>
  <c r="AT33" i="46"/>
  <c r="K33" i="46" s="1"/>
  <c r="S42" i="46"/>
  <c r="S43" i="46" s="1"/>
  <c r="Z42" i="46"/>
  <c r="Z43" i="46" s="1"/>
  <c r="AL42" i="46"/>
  <c r="AL43" i="46" s="1"/>
  <c r="AM42" i="46"/>
  <c r="AM43" i="46" s="1"/>
  <c r="AJ42" i="46"/>
  <c r="AJ43" i="46" s="1"/>
  <c r="I42" i="46"/>
  <c r="I43" i="46" s="1"/>
  <c r="AU38" i="46"/>
  <c r="AU33" i="46"/>
  <c r="AU28" i="46"/>
  <c r="AV40" i="46"/>
  <c r="AV36" i="46"/>
  <c r="AV32" i="46"/>
  <c r="AV28" i="46"/>
  <c r="AT37" i="46"/>
  <c r="L37" i="46" s="1"/>
  <c r="AT32" i="46"/>
  <c r="L32" i="46" s="1"/>
  <c r="AT27" i="46"/>
  <c r="L27" i="46" s="1"/>
  <c r="N42" i="46"/>
  <c r="N43" i="46" s="1"/>
  <c r="AA42" i="46"/>
  <c r="AA43" i="46" s="1"/>
  <c r="AC42" i="46"/>
  <c r="AC43" i="46" s="1"/>
  <c r="AT35" i="46"/>
  <c r="L35" i="46" s="1"/>
  <c r="AO42" i="46"/>
  <c r="AO43" i="46" s="1"/>
  <c r="U42" i="46"/>
  <c r="U43" i="46" s="1"/>
  <c r="AG42" i="46"/>
  <c r="AG43" i="46" s="1"/>
  <c r="AH42" i="46"/>
  <c r="AH43" i="46" s="1"/>
  <c r="Y42" i="46"/>
  <c r="Y43" i="46" s="1"/>
  <c r="AD42" i="46"/>
  <c r="AD43" i="46" s="1"/>
  <c r="AU29" i="46"/>
  <c r="AV29" i="46"/>
  <c r="AT39" i="46"/>
  <c r="K39" i="46" s="1"/>
  <c r="AI42" i="46"/>
  <c r="AI43" i="46" s="1"/>
  <c r="AE42" i="46"/>
  <c r="AE43" i="46" s="1"/>
  <c r="Q42" i="46"/>
  <c r="Q43" i="46" s="1"/>
  <c r="AQ42" i="46"/>
  <c r="AQ43" i="46" s="1"/>
  <c r="W42" i="46"/>
  <c r="W43" i="46" s="1"/>
  <c r="AS42" i="46"/>
  <c r="AS43" i="46" s="1"/>
  <c r="X42" i="46"/>
  <c r="X43" i="46" s="1"/>
  <c r="AN42" i="46"/>
  <c r="AN43" i="46" s="1"/>
  <c r="AU37" i="46"/>
  <c r="AU26" i="46"/>
  <c r="AV39" i="46"/>
  <c r="AV35" i="46"/>
  <c r="AV31" i="46"/>
  <c r="AV27" i="46"/>
  <c r="AT31" i="46"/>
  <c r="L26" i="46"/>
  <c r="F59" i="46"/>
  <c r="F52" i="46"/>
  <c r="L28" i="46"/>
  <c r="K36" i="46"/>
  <c r="K34" i="46"/>
  <c r="K30" i="46"/>
  <c r="AT25" i="46"/>
  <c r="K29" i="46"/>
  <c r="D35" i="46"/>
  <c r="D33" i="46"/>
  <c r="D27" i="46"/>
  <c r="D30" i="46"/>
  <c r="D26" i="46"/>
  <c r="D37" i="46"/>
  <c r="D29" i="46"/>
  <c r="K26" i="46"/>
  <c r="D39" i="46"/>
  <c r="D25" i="46"/>
  <c r="D38" i="46"/>
  <c r="D34" i="46"/>
  <c r="D28" i="46"/>
  <c r="D36" i="46"/>
  <c r="E54" i="46"/>
  <c r="F54" i="46"/>
  <c r="E62" i="46"/>
  <c r="F62" i="46"/>
  <c r="F51" i="46"/>
  <c r="E51" i="46"/>
  <c r="E64" i="46"/>
  <c r="F64" i="46"/>
  <c r="D32" i="46"/>
  <c r="E60" i="46"/>
  <c r="F60" i="46"/>
  <c r="E56" i="46"/>
  <c r="F56" i="46"/>
  <c r="F50" i="46"/>
  <c r="E50" i="46"/>
  <c r="D66" i="46"/>
  <c r="E58" i="46"/>
  <c r="F58" i="46"/>
  <c r="F53" i="46"/>
  <c r="E53" i="46"/>
  <c r="F42" i="46"/>
  <c r="F43" i="46" s="1"/>
  <c r="D40" i="46"/>
  <c r="AW43" i="46" l="1"/>
  <c r="K37" i="46"/>
  <c r="L33" i="46"/>
  <c r="AV42" i="46"/>
  <c r="AV43" i="46" s="1"/>
  <c r="AU42" i="46"/>
  <c r="AU43" i="46" s="1"/>
  <c r="L25" i="46"/>
  <c r="AT42" i="46"/>
  <c r="AT43" i="46" s="1"/>
  <c r="L34" i="46"/>
  <c r="K28" i="46"/>
  <c r="K27" i="46"/>
  <c r="K35" i="46"/>
  <c r="K32" i="46"/>
  <c r="L36" i="46"/>
  <c r="L39" i="46"/>
  <c r="K25" i="46"/>
  <c r="K38" i="46"/>
  <c r="L38" i="46"/>
  <c r="L30" i="46"/>
  <c r="L31" i="46"/>
  <c r="K31" i="46"/>
  <c r="K40" i="46"/>
  <c r="L40" i="46"/>
  <c r="D42" i="46"/>
  <c r="E66" i="46"/>
  <c r="F66" i="46"/>
  <c r="AS21" i="44"/>
  <c r="AR21" i="44"/>
  <c r="AQ21" i="44"/>
  <c r="AP21" i="44"/>
  <c r="AO21" i="44"/>
  <c r="AN21" i="44"/>
  <c r="AM21" i="44"/>
  <c r="AL21" i="44"/>
  <c r="AK21" i="44"/>
  <c r="AJ21" i="44"/>
  <c r="AI21" i="44"/>
  <c r="AH21" i="44"/>
  <c r="AG21" i="44"/>
  <c r="AF21" i="44"/>
  <c r="AE21" i="44"/>
  <c r="AD21" i="44"/>
  <c r="AC21" i="44"/>
  <c r="AB21" i="44"/>
  <c r="AA21" i="44"/>
  <c r="Z21" i="44"/>
  <c r="Y21" i="44"/>
  <c r="X21" i="44"/>
  <c r="W21" i="44"/>
  <c r="V21" i="44"/>
  <c r="U21" i="44"/>
  <c r="T21" i="44"/>
  <c r="S21" i="44"/>
  <c r="R21" i="44"/>
  <c r="Q21" i="44"/>
  <c r="P21" i="44"/>
  <c r="O21" i="44"/>
  <c r="N21" i="44"/>
  <c r="M21" i="44"/>
  <c r="L21" i="44"/>
  <c r="K21" i="44"/>
  <c r="J21" i="44"/>
  <c r="AS20" i="44"/>
  <c r="AR20" i="44"/>
  <c r="AQ20" i="44"/>
  <c r="AP20" i="44"/>
  <c r="AO20" i="44"/>
  <c r="AN20" i="44"/>
  <c r="AM20" i="44"/>
  <c r="AL20" i="44"/>
  <c r="AK20" i="44"/>
  <c r="AJ20" i="44"/>
  <c r="AI20" i="44"/>
  <c r="AH20" i="44"/>
  <c r="AG20" i="44"/>
  <c r="AF20" i="44"/>
  <c r="AE20" i="44"/>
  <c r="AD20" i="44"/>
  <c r="AC20" i="44"/>
  <c r="AB20" i="44"/>
  <c r="AA20" i="44"/>
  <c r="Z20" i="44"/>
  <c r="Y20" i="44"/>
  <c r="X20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AS19" i="44"/>
  <c r="AR19" i="44"/>
  <c r="AQ19" i="44"/>
  <c r="AP19" i="44"/>
  <c r="AO19" i="44"/>
  <c r="AN19" i="44"/>
  <c r="AM19" i="44"/>
  <c r="AL19" i="44"/>
  <c r="AK19" i="44"/>
  <c r="AJ19" i="44"/>
  <c r="AI19" i="44"/>
  <c r="AH19" i="44"/>
  <c r="AG19" i="44"/>
  <c r="AF19" i="44"/>
  <c r="AE19" i="44"/>
  <c r="AD19" i="44"/>
  <c r="AC19" i="44"/>
  <c r="AB19" i="44"/>
  <c r="AA19" i="44"/>
  <c r="Z19" i="44"/>
  <c r="Y19" i="44"/>
  <c r="X19" i="44"/>
  <c r="W19" i="44"/>
  <c r="V19" i="44"/>
  <c r="U19" i="44"/>
  <c r="T19" i="44"/>
  <c r="S19" i="44"/>
  <c r="R19" i="44"/>
  <c r="Q19" i="44"/>
  <c r="P19" i="44"/>
  <c r="O19" i="44"/>
  <c r="N19" i="44"/>
  <c r="M19" i="44"/>
  <c r="L19" i="44"/>
  <c r="K19" i="44"/>
  <c r="J19" i="44"/>
  <c r="AS18" i="44"/>
  <c r="AR18" i="44"/>
  <c r="AQ18" i="44"/>
  <c r="AP18" i="44"/>
  <c r="AO18" i="44"/>
  <c r="AN18" i="44"/>
  <c r="AM18" i="44"/>
  <c r="AL18" i="44"/>
  <c r="AK18" i="44"/>
  <c r="AJ18" i="44"/>
  <c r="AI18" i="44"/>
  <c r="AH18" i="44"/>
  <c r="AG18" i="44"/>
  <c r="AF18" i="44"/>
  <c r="AE18" i="44"/>
  <c r="AD18" i="44"/>
  <c r="AC18" i="44"/>
  <c r="AB18" i="44"/>
  <c r="AA18" i="44"/>
  <c r="Z18" i="44"/>
  <c r="Y18" i="44"/>
  <c r="X18" i="44"/>
  <c r="W18" i="44"/>
  <c r="V18" i="44"/>
  <c r="U18" i="44"/>
  <c r="T18" i="44"/>
  <c r="S18" i="44"/>
  <c r="R18" i="44"/>
  <c r="Q18" i="44"/>
  <c r="P18" i="44"/>
  <c r="O18" i="44"/>
  <c r="N18" i="44"/>
  <c r="M18" i="44"/>
  <c r="L18" i="44"/>
  <c r="K18" i="44"/>
  <c r="J18" i="44"/>
  <c r="AS17" i="44"/>
  <c r="AR17" i="44"/>
  <c r="AQ17" i="44"/>
  <c r="AP17" i="44"/>
  <c r="AO17" i="44"/>
  <c r="AN17" i="44"/>
  <c r="AM17" i="44"/>
  <c r="AL17" i="44"/>
  <c r="AK17" i="44"/>
  <c r="AJ17" i="44"/>
  <c r="AI17" i="44"/>
  <c r="AH17" i="44"/>
  <c r="AG17" i="44"/>
  <c r="AF17" i="44"/>
  <c r="AE17" i="44"/>
  <c r="AD17" i="44"/>
  <c r="AC17" i="44"/>
  <c r="AB17" i="44"/>
  <c r="AA17" i="44"/>
  <c r="Z17" i="44"/>
  <c r="Y17" i="44"/>
  <c r="X17" i="44"/>
  <c r="W17" i="44"/>
  <c r="V17" i="44"/>
  <c r="U17" i="44"/>
  <c r="T17" i="44"/>
  <c r="S17" i="44"/>
  <c r="R17" i="44"/>
  <c r="Q17" i="44"/>
  <c r="P17" i="44"/>
  <c r="O17" i="44"/>
  <c r="N17" i="44"/>
  <c r="M17" i="44"/>
  <c r="L17" i="44"/>
  <c r="K17" i="44"/>
  <c r="J17" i="44"/>
  <c r="AS16" i="44"/>
  <c r="AR16" i="44"/>
  <c r="AQ16" i="44"/>
  <c r="AP16" i="44"/>
  <c r="AO16" i="44"/>
  <c r="AN16" i="44"/>
  <c r="AM16" i="44"/>
  <c r="AL16" i="44"/>
  <c r="AK16" i="44"/>
  <c r="AJ16" i="44"/>
  <c r="AI16" i="44"/>
  <c r="AH16" i="44"/>
  <c r="AG16" i="44"/>
  <c r="AF16" i="44"/>
  <c r="AE16" i="44"/>
  <c r="AD16" i="44"/>
  <c r="AC16" i="44"/>
  <c r="AB16" i="44"/>
  <c r="AA16" i="44"/>
  <c r="Z16" i="44"/>
  <c r="Y16" i="44"/>
  <c r="X16" i="44"/>
  <c r="W16" i="44"/>
  <c r="V16" i="44"/>
  <c r="U16" i="44"/>
  <c r="T16" i="44"/>
  <c r="S16" i="44"/>
  <c r="R16" i="44"/>
  <c r="Q16" i="44"/>
  <c r="P16" i="44"/>
  <c r="O16" i="44"/>
  <c r="N16" i="44"/>
  <c r="M16" i="44"/>
  <c r="L16" i="44"/>
  <c r="K16" i="44"/>
  <c r="J16" i="44"/>
  <c r="AS15" i="44"/>
  <c r="AR15" i="44"/>
  <c r="AQ15" i="44"/>
  <c r="AP15" i="44"/>
  <c r="AO15" i="44"/>
  <c r="AN15" i="44"/>
  <c r="AM15" i="44"/>
  <c r="AL15" i="44"/>
  <c r="AK15" i="44"/>
  <c r="AJ15" i="44"/>
  <c r="AI15" i="44"/>
  <c r="AH15" i="44"/>
  <c r="AG15" i="44"/>
  <c r="AF15" i="44"/>
  <c r="AE15" i="44"/>
  <c r="AD15" i="44"/>
  <c r="AC15" i="44"/>
  <c r="AB15" i="44"/>
  <c r="AA15" i="44"/>
  <c r="Z15" i="44"/>
  <c r="Y15" i="44"/>
  <c r="X15" i="44"/>
  <c r="W15" i="44"/>
  <c r="V15" i="44"/>
  <c r="U15" i="44"/>
  <c r="T15" i="44"/>
  <c r="S15" i="44"/>
  <c r="R15" i="44"/>
  <c r="Q15" i="44"/>
  <c r="P15" i="44"/>
  <c r="O15" i="44"/>
  <c r="N15" i="44"/>
  <c r="M15" i="44"/>
  <c r="L15" i="44"/>
  <c r="K15" i="44"/>
  <c r="J15" i="44"/>
  <c r="AS14" i="44"/>
  <c r="AR14" i="44"/>
  <c r="AQ14" i="44"/>
  <c r="AP14" i="44"/>
  <c r="AO14" i="44"/>
  <c r="AN14" i="44"/>
  <c r="AM14" i="44"/>
  <c r="AL14" i="44"/>
  <c r="AK14" i="44"/>
  <c r="AJ14" i="44"/>
  <c r="AI14" i="44"/>
  <c r="AH14" i="44"/>
  <c r="AG14" i="44"/>
  <c r="AF14" i="44"/>
  <c r="AE14" i="44"/>
  <c r="AD14" i="44"/>
  <c r="AC14" i="44"/>
  <c r="AB14" i="44"/>
  <c r="AA14" i="44"/>
  <c r="Z14" i="44"/>
  <c r="Y14" i="44"/>
  <c r="X14" i="44"/>
  <c r="W14" i="44"/>
  <c r="V14" i="44"/>
  <c r="U14" i="44"/>
  <c r="S14" i="44"/>
  <c r="R14" i="44"/>
  <c r="Q14" i="44"/>
  <c r="P14" i="44"/>
  <c r="O14" i="44"/>
  <c r="N14" i="44"/>
  <c r="M14" i="44"/>
  <c r="L14" i="44"/>
  <c r="K14" i="44"/>
  <c r="J14" i="44"/>
  <c r="AS13" i="44"/>
  <c r="AR13" i="44"/>
  <c r="AQ13" i="44"/>
  <c r="AP13" i="44"/>
  <c r="AO13" i="44"/>
  <c r="AN13" i="44"/>
  <c r="AM13" i="44"/>
  <c r="AL13" i="44"/>
  <c r="AK13" i="44"/>
  <c r="AJ13" i="44"/>
  <c r="AI13" i="44"/>
  <c r="AH13" i="44"/>
  <c r="AG13" i="44"/>
  <c r="AF13" i="44"/>
  <c r="AE13" i="44"/>
  <c r="AD13" i="44"/>
  <c r="AC13" i="44"/>
  <c r="AB13" i="44"/>
  <c r="AA13" i="44"/>
  <c r="Z13" i="44"/>
  <c r="Y13" i="44"/>
  <c r="X13" i="44"/>
  <c r="W13" i="44"/>
  <c r="V13" i="44"/>
  <c r="U13" i="44"/>
  <c r="S13" i="44"/>
  <c r="R13" i="44"/>
  <c r="Q13" i="44"/>
  <c r="P13" i="44"/>
  <c r="O13" i="44"/>
  <c r="N13" i="44"/>
  <c r="M13" i="44"/>
  <c r="L13" i="44"/>
  <c r="K13" i="44"/>
  <c r="J13" i="44"/>
  <c r="AS12" i="44"/>
  <c r="AR12" i="44"/>
  <c r="AQ12" i="44"/>
  <c r="AP12" i="44"/>
  <c r="AO12" i="44"/>
  <c r="AN12" i="44"/>
  <c r="AM12" i="44"/>
  <c r="AL12" i="44"/>
  <c r="AK12" i="44"/>
  <c r="AJ12" i="44"/>
  <c r="AI12" i="44"/>
  <c r="AH12" i="44"/>
  <c r="AG12" i="44"/>
  <c r="AF12" i="44"/>
  <c r="AE12" i="44"/>
  <c r="AD12" i="44"/>
  <c r="AC12" i="44"/>
  <c r="AB12" i="44"/>
  <c r="AA12" i="44"/>
  <c r="Z12" i="44"/>
  <c r="Y12" i="44"/>
  <c r="X12" i="44"/>
  <c r="W12" i="44"/>
  <c r="V12" i="44"/>
  <c r="U12" i="44"/>
  <c r="T12" i="44"/>
  <c r="S12" i="44"/>
  <c r="R12" i="44"/>
  <c r="Q12" i="44"/>
  <c r="P12" i="44"/>
  <c r="O12" i="44"/>
  <c r="N12" i="44"/>
  <c r="M12" i="44"/>
  <c r="L12" i="44"/>
  <c r="K12" i="44"/>
  <c r="J12" i="44"/>
  <c r="AS11" i="44"/>
  <c r="AR11" i="44"/>
  <c r="AQ11" i="44"/>
  <c r="AP11" i="44"/>
  <c r="AO11" i="44"/>
  <c r="AN11" i="44"/>
  <c r="AM11" i="44"/>
  <c r="AL11" i="44"/>
  <c r="AK11" i="44"/>
  <c r="AJ11" i="44"/>
  <c r="AI11" i="44"/>
  <c r="AH11" i="44"/>
  <c r="AG11" i="44"/>
  <c r="AF11" i="44"/>
  <c r="AE11" i="44"/>
  <c r="AD11" i="44"/>
  <c r="AC11" i="44"/>
  <c r="AB11" i="44"/>
  <c r="AA11" i="44"/>
  <c r="Z11" i="44"/>
  <c r="Y11" i="44"/>
  <c r="X11" i="44"/>
  <c r="W11" i="44"/>
  <c r="V11" i="44"/>
  <c r="U11" i="44"/>
  <c r="S11" i="44"/>
  <c r="R11" i="44"/>
  <c r="Q11" i="44"/>
  <c r="P11" i="44"/>
  <c r="O11" i="44"/>
  <c r="N11" i="44"/>
  <c r="M11" i="44"/>
  <c r="L11" i="44"/>
  <c r="K11" i="44"/>
  <c r="J11" i="44"/>
  <c r="AS10" i="44"/>
  <c r="AR10" i="44"/>
  <c r="AQ10" i="44"/>
  <c r="AP10" i="44"/>
  <c r="AO10" i="44"/>
  <c r="AN10" i="44"/>
  <c r="AM10" i="44"/>
  <c r="AL10" i="44"/>
  <c r="AK10" i="44"/>
  <c r="AJ10" i="44"/>
  <c r="AI10" i="44"/>
  <c r="AH10" i="44"/>
  <c r="AG10" i="44"/>
  <c r="AF10" i="44"/>
  <c r="AE10" i="44"/>
  <c r="AD10" i="44"/>
  <c r="AC10" i="44"/>
  <c r="AB10" i="44"/>
  <c r="AA10" i="44"/>
  <c r="Z10" i="44"/>
  <c r="Y10" i="44"/>
  <c r="X10" i="44"/>
  <c r="W10" i="44"/>
  <c r="V10" i="44"/>
  <c r="U10" i="44"/>
  <c r="S10" i="44"/>
  <c r="Q10" i="44"/>
  <c r="P10" i="44"/>
  <c r="N10" i="44"/>
  <c r="M10" i="44"/>
  <c r="L10" i="44"/>
  <c r="K10" i="44"/>
  <c r="AS9" i="44"/>
  <c r="AR9" i="44"/>
  <c r="AQ9" i="44"/>
  <c r="AP9" i="44"/>
  <c r="AO9" i="44"/>
  <c r="AN9" i="44"/>
  <c r="AM9" i="44"/>
  <c r="AL9" i="44"/>
  <c r="AK9" i="44"/>
  <c r="AJ9" i="44"/>
  <c r="AI9" i="44"/>
  <c r="AH9" i="44"/>
  <c r="AG9" i="44"/>
  <c r="AF9" i="44"/>
  <c r="AE9" i="44"/>
  <c r="AD9" i="44"/>
  <c r="AC9" i="44"/>
  <c r="AB9" i="44"/>
  <c r="AA9" i="44"/>
  <c r="Z9" i="44"/>
  <c r="Y9" i="44"/>
  <c r="X9" i="44"/>
  <c r="W9" i="44"/>
  <c r="V9" i="44"/>
  <c r="U9" i="44"/>
  <c r="S9" i="44"/>
  <c r="Q9" i="44"/>
  <c r="P9" i="44"/>
  <c r="N9" i="44"/>
  <c r="M9" i="44"/>
  <c r="L9" i="44"/>
  <c r="K9" i="44"/>
  <c r="AS8" i="44"/>
  <c r="AR8" i="44"/>
  <c r="AQ8" i="44"/>
  <c r="AP8" i="44"/>
  <c r="AO8" i="44"/>
  <c r="AN8" i="44"/>
  <c r="AM8" i="44"/>
  <c r="AL8" i="44"/>
  <c r="AK8" i="44"/>
  <c r="AJ8" i="44"/>
  <c r="AI8" i="44"/>
  <c r="AH8" i="44"/>
  <c r="AG8" i="44"/>
  <c r="AF8" i="44"/>
  <c r="AE8" i="44"/>
  <c r="AD8" i="44"/>
  <c r="AC8" i="44"/>
  <c r="AB8" i="44"/>
  <c r="AA8" i="44"/>
  <c r="Z8" i="44"/>
  <c r="Y8" i="44"/>
  <c r="X8" i="44"/>
  <c r="W8" i="44"/>
  <c r="V8" i="44"/>
  <c r="U8" i="44"/>
  <c r="S8" i="44"/>
  <c r="Q8" i="44"/>
  <c r="P8" i="44"/>
  <c r="N8" i="44"/>
  <c r="M8" i="44"/>
  <c r="L8" i="44"/>
  <c r="K8" i="44"/>
  <c r="AS7" i="44"/>
  <c r="AR7" i="44"/>
  <c r="AQ7" i="44"/>
  <c r="AP7" i="44"/>
  <c r="AO7" i="44"/>
  <c r="AN7" i="44"/>
  <c r="AM7" i="44"/>
  <c r="AL7" i="44"/>
  <c r="AK7" i="44"/>
  <c r="AJ7" i="44"/>
  <c r="AI7" i="44"/>
  <c r="AH7" i="44"/>
  <c r="AG7" i="44"/>
  <c r="AF7" i="44"/>
  <c r="AE7" i="44"/>
  <c r="AD7" i="44"/>
  <c r="AC7" i="44"/>
  <c r="AB7" i="44"/>
  <c r="AA7" i="44"/>
  <c r="Z7" i="44"/>
  <c r="Y7" i="44"/>
  <c r="X7" i="44"/>
  <c r="W7" i="44"/>
  <c r="V7" i="44"/>
  <c r="U7" i="44"/>
  <c r="S7" i="44"/>
  <c r="Q7" i="44"/>
  <c r="P7" i="44"/>
  <c r="N7" i="44"/>
  <c r="L7" i="44"/>
  <c r="K7" i="44"/>
  <c r="AS6" i="44"/>
  <c r="AR6" i="44"/>
  <c r="AQ6" i="44"/>
  <c r="AP6" i="44"/>
  <c r="AO6" i="44"/>
  <c r="AN6" i="44"/>
  <c r="AM6" i="44"/>
  <c r="AL6" i="44"/>
  <c r="AK6" i="44"/>
  <c r="AJ6" i="44"/>
  <c r="AI6" i="44"/>
  <c r="AH6" i="44"/>
  <c r="AG6" i="44"/>
  <c r="AF6" i="44"/>
  <c r="AE6" i="44"/>
  <c r="AD6" i="44"/>
  <c r="AC6" i="44"/>
  <c r="AB6" i="44"/>
  <c r="AA6" i="44"/>
  <c r="Z6" i="44"/>
  <c r="Y6" i="44"/>
  <c r="X6" i="44"/>
  <c r="W6" i="44"/>
  <c r="V6" i="44"/>
  <c r="U6" i="44"/>
  <c r="S6" i="44"/>
  <c r="Q6" i="44"/>
  <c r="P6" i="44"/>
  <c r="N6" i="44"/>
  <c r="L6" i="44"/>
  <c r="K6" i="44"/>
  <c r="AS21" i="43"/>
  <c r="AR21" i="43"/>
  <c r="AQ21" i="43"/>
  <c r="AP21" i="43"/>
  <c r="AO21" i="43"/>
  <c r="AN21" i="43"/>
  <c r="AM21" i="43"/>
  <c r="AL21" i="43"/>
  <c r="AK21" i="43"/>
  <c r="AJ21" i="43"/>
  <c r="AI21" i="43"/>
  <c r="AH21" i="43"/>
  <c r="AG21" i="43"/>
  <c r="AF21" i="43"/>
  <c r="AE21" i="43"/>
  <c r="AD21" i="43"/>
  <c r="AC21" i="43"/>
  <c r="AB21" i="43"/>
  <c r="AA21" i="43"/>
  <c r="Z21" i="43"/>
  <c r="Y21" i="43"/>
  <c r="X21" i="43"/>
  <c r="W21" i="43"/>
  <c r="V21" i="43"/>
  <c r="U21" i="43"/>
  <c r="T21" i="43"/>
  <c r="S21" i="43"/>
  <c r="R21" i="43"/>
  <c r="Q21" i="43"/>
  <c r="P21" i="43"/>
  <c r="O21" i="43"/>
  <c r="N21" i="43"/>
  <c r="M21" i="43"/>
  <c r="L21" i="43"/>
  <c r="K21" i="43"/>
  <c r="J21" i="43"/>
  <c r="AS20" i="43"/>
  <c r="AR20" i="43"/>
  <c r="AQ20" i="43"/>
  <c r="AP20" i="43"/>
  <c r="AO20" i="43"/>
  <c r="AN20" i="43"/>
  <c r="AM20" i="43"/>
  <c r="AL20" i="43"/>
  <c r="AK20" i="43"/>
  <c r="AJ20" i="43"/>
  <c r="AI20" i="43"/>
  <c r="AH20" i="43"/>
  <c r="AG20" i="43"/>
  <c r="AF20" i="43"/>
  <c r="AE20" i="43"/>
  <c r="AD20" i="43"/>
  <c r="AC20" i="43"/>
  <c r="AB20" i="43"/>
  <c r="AA20" i="43"/>
  <c r="Z20" i="43"/>
  <c r="Y20" i="43"/>
  <c r="X20" i="43"/>
  <c r="W20" i="43"/>
  <c r="V20" i="43"/>
  <c r="U20" i="43"/>
  <c r="T20" i="43"/>
  <c r="S20" i="43"/>
  <c r="R20" i="43"/>
  <c r="Q20" i="43"/>
  <c r="P20" i="43"/>
  <c r="O20" i="43"/>
  <c r="N20" i="43"/>
  <c r="M20" i="43"/>
  <c r="L20" i="43"/>
  <c r="K20" i="43"/>
  <c r="J20" i="43"/>
  <c r="AS19" i="43"/>
  <c r="AR19" i="43"/>
  <c r="AQ19" i="43"/>
  <c r="AP19" i="43"/>
  <c r="AO19" i="43"/>
  <c r="AN19" i="43"/>
  <c r="AM19" i="43"/>
  <c r="AL19" i="43"/>
  <c r="AK19" i="43"/>
  <c r="AJ19" i="43"/>
  <c r="AI19" i="43"/>
  <c r="AH19" i="43"/>
  <c r="AG19" i="43"/>
  <c r="AF19" i="43"/>
  <c r="AE19" i="43"/>
  <c r="AD19" i="43"/>
  <c r="AC19" i="43"/>
  <c r="AB19" i="43"/>
  <c r="AA19" i="43"/>
  <c r="Z19" i="43"/>
  <c r="Y19" i="43"/>
  <c r="X19" i="43"/>
  <c r="W19" i="43"/>
  <c r="V19" i="43"/>
  <c r="U19" i="43"/>
  <c r="T19" i="43"/>
  <c r="S19" i="43"/>
  <c r="R19" i="43"/>
  <c r="Q19" i="43"/>
  <c r="P19" i="43"/>
  <c r="O19" i="43"/>
  <c r="N19" i="43"/>
  <c r="M19" i="43"/>
  <c r="L19" i="43"/>
  <c r="K19" i="43"/>
  <c r="J19" i="43"/>
  <c r="AS18" i="43"/>
  <c r="AR18" i="43"/>
  <c r="AQ18" i="43"/>
  <c r="AP18" i="43"/>
  <c r="AO18" i="43"/>
  <c r="AN18" i="43"/>
  <c r="AM18" i="43"/>
  <c r="AL18" i="43"/>
  <c r="AK18" i="43"/>
  <c r="AJ18" i="43"/>
  <c r="AI18" i="43"/>
  <c r="AH18" i="43"/>
  <c r="AG18" i="43"/>
  <c r="AF18" i="43"/>
  <c r="AE18" i="43"/>
  <c r="AD18" i="43"/>
  <c r="AC18" i="43"/>
  <c r="AB18" i="43"/>
  <c r="AA18" i="43"/>
  <c r="Z18" i="43"/>
  <c r="Y18" i="43"/>
  <c r="X18" i="43"/>
  <c r="W18" i="43"/>
  <c r="V18" i="43"/>
  <c r="U18" i="43"/>
  <c r="T18" i="43"/>
  <c r="S18" i="43"/>
  <c r="R18" i="43"/>
  <c r="Q18" i="43"/>
  <c r="P18" i="43"/>
  <c r="O18" i="43"/>
  <c r="N18" i="43"/>
  <c r="M18" i="43"/>
  <c r="L18" i="43"/>
  <c r="K18" i="43"/>
  <c r="J18" i="43"/>
  <c r="AS17" i="43"/>
  <c r="AR17" i="43"/>
  <c r="AQ17" i="43"/>
  <c r="AP17" i="43"/>
  <c r="AO17" i="43"/>
  <c r="AN17" i="43"/>
  <c r="AM17" i="43"/>
  <c r="AL17" i="43"/>
  <c r="AK17" i="43"/>
  <c r="AJ17" i="43"/>
  <c r="AI17" i="43"/>
  <c r="AH17" i="43"/>
  <c r="AG17" i="43"/>
  <c r="AF17" i="43"/>
  <c r="AE17" i="43"/>
  <c r="AD17" i="43"/>
  <c r="AC17" i="43"/>
  <c r="AB17" i="43"/>
  <c r="AA17" i="43"/>
  <c r="Z17" i="43"/>
  <c r="Y17" i="43"/>
  <c r="X17" i="43"/>
  <c r="W17" i="43"/>
  <c r="V17" i="43"/>
  <c r="U17" i="43"/>
  <c r="T17" i="43"/>
  <c r="S17" i="43"/>
  <c r="R17" i="43"/>
  <c r="Q17" i="43"/>
  <c r="P17" i="43"/>
  <c r="O17" i="43"/>
  <c r="N17" i="43"/>
  <c r="M17" i="43"/>
  <c r="L17" i="43"/>
  <c r="K17" i="43"/>
  <c r="J17" i="43"/>
  <c r="AS16" i="43"/>
  <c r="AR16" i="43"/>
  <c r="AQ16" i="43"/>
  <c r="AP16" i="43"/>
  <c r="AO16" i="43"/>
  <c r="AN16" i="43"/>
  <c r="AM16" i="43"/>
  <c r="AL16" i="43"/>
  <c r="AK16" i="43"/>
  <c r="AJ16" i="43"/>
  <c r="AI16" i="43"/>
  <c r="AH16" i="43"/>
  <c r="AG16" i="43"/>
  <c r="AF16" i="43"/>
  <c r="AE16" i="43"/>
  <c r="AD16" i="43"/>
  <c r="AC16" i="43"/>
  <c r="AB16" i="43"/>
  <c r="AA16" i="43"/>
  <c r="Z16" i="43"/>
  <c r="Y16" i="43"/>
  <c r="X16" i="43"/>
  <c r="W16" i="43"/>
  <c r="V16" i="43"/>
  <c r="U16" i="43"/>
  <c r="T16" i="43"/>
  <c r="S16" i="43"/>
  <c r="R16" i="43"/>
  <c r="Q16" i="43"/>
  <c r="P16" i="43"/>
  <c r="O16" i="43"/>
  <c r="N16" i="43"/>
  <c r="M16" i="43"/>
  <c r="L16" i="43"/>
  <c r="K16" i="43"/>
  <c r="J16" i="43"/>
  <c r="AS15" i="43"/>
  <c r="AR15" i="43"/>
  <c r="AQ15" i="43"/>
  <c r="AP15" i="43"/>
  <c r="AO15" i="43"/>
  <c r="AN15" i="43"/>
  <c r="AM15" i="43"/>
  <c r="AL15" i="43"/>
  <c r="AK15" i="43"/>
  <c r="AJ15" i="43"/>
  <c r="AI15" i="43"/>
  <c r="AH15" i="43"/>
  <c r="AG15" i="43"/>
  <c r="AF15" i="43"/>
  <c r="AE15" i="43"/>
  <c r="AD15" i="43"/>
  <c r="AC15" i="43"/>
  <c r="AB15" i="43"/>
  <c r="AA15" i="43"/>
  <c r="Z15" i="43"/>
  <c r="Y15" i="43"/>
  <c r="X15" i="43"/>
  <c r="W15" i="43"/>
  <c r="V15" i="43"/>
  <c r="U15" i="43"/>
  <c r="T15" i="43"/>
  <c r="S15" i="43"/>
  <c r="R15" i="43"/>
  <c r="Q15" i="43"/>
  <c r="P15" i="43"/>
  <c r="O15" i="43"/>
  <c r="N15" i="43"/>
  <c r="M15" i="43"/>
  <c r="L15" i="43"/>
  <c r="K15" i="43"/>
  <c r="J15" i="43"/>
  <c r="AS14" i="43"/>
  <c r="AR14" i="43"/>
  <c r="AQ14" i="43"/>
  <c r="AP14" i="43"/>
  <c r="AO14" i="43"/>
  <c r="AN14" i="43"/>
  <c r="AM14" i="43"/>
  <c r="AL14" i="43"/>
  <c r="AK14" i="43"/>
  <c r="AJ14" i="43"/>
  <c r="AI14" i="43"/>
  <c r="AH14" i="43"/>
  <c r="AG14" i="43"/>
  <c r="AF14" i="43"/>
  <c r="AE14" i="43"/>
  <c r="AD14" i="43"/>
  <c r="AC14" i="43"/>
  <c r="AB14" i="43"/>
  <c r="AA14" i="43"/>
  <c r="Z14" i="43"/>
  <c r="Y14" i="43"/>
  <c r="X14" i="43"/>
  <c r="W14" i="43"/>
  <c r="V14" i="43"/>
  <c r="U14" i="43"/>
  <c r="S14" i="43"/>
  <c r="R14" i="43"/>
  <c r="Q14" i="43"/>
  <c r="P14" i="43"/>
  <c r="O14" i="43"/>
  <c r="N14" i="43"/>
  <c r="M14" i="43"/>
  <c r="L14" i="43"/>
  <c r="K14" i="43"/>
  <c r="J14" i="43"/>
  <c r="AS13" i="43"/>
  <c r="AR13" i="43"/>
  <c r="AQ13" i="43"/>
  <c r="AP13" i="43"/>
  <c r="AO13" i="43"/>
  <c r="AN13" i="43"/>
  <c r="AM13" i="43"/>
  <c r="AL13" i="43"/>
  <c r="AK13" i="43"/>
  <c r="AJ13" i="43"/>
  <c r="AI13" i="43"/>
  <c r="AH13" i="43"/>
  <c r="AG13" i="43"/>
  <c r="AF13" i="43"/>
  <c r="AE13" i="43"/>
  <c r="AD13" i="43"/>
  <c r="AC13" i="43"/>
  <c r="AB13" i="43"/>
  <c r="AA13" i="43"/>
  <c r="Z13" i="43"/>
  <c r="Y13" i="43"/>
  <c r="X13" i="43"/>
  <c r="W13" i="43"/>
  <c r="V13" i="43"/>
  <c r="U13" i="43"/>
  <c r="S13" i="43"/>
  <c r="R13" i="43"/>
  <c r="Q13" i="43"/>
  <c r="P13" i="43"/>
  <c r="O13" i="43"/>
  <c r="N13" i="43"/>
  <c r="M13" i="43"/>
  <c r="L13" i="43"/>
  <c r="K13" i="43"/>
  <c r="J13" i="43"/>
  <c r="AS12" i="43"/>
  <c r="AR12" i="43"/>
  <c r="AQ12" i="43"/>
  <c r="AP12" i="43"/>
  <c r="AO12" i="43"/>
  <c r="AN12" i="43"/>
  <c r="AM12" i="43"/>
  <c r="AL12" i="43"/>
  <c r="AK12" i="43"/>
  <c r="AJ12" i="43"/>
  <c r="AI12" i="43"/>
  <c r="AH12" i="43"/>
  <c r="AG12" i="43"/>
  <c r="AF12" i="43"/>
  <c r="AE12" i="43"/>
  <c r="AD12" i="43"/>
  <c r="AC12" i="43"/>
  <c r="AB12" i="43"/>
  <c r="AA12" i="43"/>
  <c r="Z12" i="43"/>
  <c r="Y12" i="43"/>
  <c r="X12" i="43"/>
  <c r="W12" i="43"/>
  <c r="V12" i="43"/>
  <c r="U12" i="43"/>
  <c r="T12" i="43"/>
  <c r="S12" i="43"/>
  <c r="R12" i="43"/>
  <c r="Q12" i="43"/>
  <c r="P12" i="43"/>
  <c r="O12" i="43"/>
  <c r="N12" i="43"/>
  <c r="M12" i="43"/>
  <c r="L12" i="43"/>
  <c r="K12" i="43"/>
  <c r="J12" i="43"/>
  <c r="AS11" i="43"/>
  <c r="AR11" i="43"/>
  <c r="AQ11" i="43"/>
  <c r="AP11" i="43"/>
  <c r="AO11" i="43"/>
  <c r="AN11" i="43"/>
  <c r="AM11" i="43"/>
  <c r="AL11" i="43"/>
  <c r="AK11" i="43"/>
  <c r="AJ11" i="43"/>
  <c r="AI11" i="43"/>
  <c r="AH11" i="43"/>
  <c r="AG11" i="43"/>
  <c r="AF11" i="43"/>
  <c r="AE11" i="43"/>
  <c r="AD11" i="43"/>
  <c r="AC11" i="43"/>
  <c r="AB11" i="43"/>
  <c r="AA11" i="43"/>
  <c r="Z11" i="43"/>
  <c r="Y11" i="43"/>
  <c r="X11" i="43"/>
  <c r="W11" i="43"/>
  <c r="V11" i="43"/>
  <c r="U11" i="43"/>
  <c r="T11" i="43"/>
  <c r="S11" i="43"/>
  <c r="R11" i="43"/>
  <c r="Q11" i="43"/>
  <c r="P11" i="43"/>
  <c r="O11" i="43"/>
  <c r="N11" i="43"/>
  <c r="M11" i="43"/>
  <c r="L11" i="43"/>
  <c r="K11" i="43"/>
  <c r="J11" i="43"/>
  <c r="AS10" i="43"/>
  <c r="AR10" i="43"/>
  <c r="AQ10" i="43"/>
  <c r="AP10" i="43"/>
  <c r="AO10" i="43"/>
  <c r="AN10" i="43"/>
  <c r="AM10" i="43"/>
  <c r="AL10" i="43"/>
  <c r="AK10" i="43"/>
  <c r="AJ10" i="43"/>
  <c r="AI10" i="43"/>
  <c r="AH10" i="43"/>
  <c r="AG10" i="43"/>
  <c r="AF10" i="43"/>
  <c r="AE10" i="43"/>
  <c r="AD10" i="43"/>
  <c r="AC10" i="43"/>
  <c r="AB10" i="43"/>
  <c r="AA10" i="43"/>
  <c r="Z10" i="43"/>
  <c r="Y10" i="43"/>
  <c r="X10" i="43"/>
  <c r="W10" i="43"/>
  <c r="V10" i="43"/>
  <c r="U10" i="43"/>
  <c r="S10" i="43"/>
  <c r="Q10" i="43"/>
  <c r="P10" i="43"/>
  <c r="N10" i="43"/>
  <c r="M10" i="43"/>
  <c r="L10" i="43"/>
  <c r="K10" i="43"/>
  <c r="AS9" i="43"/>
  <c r="AR9" i="43"/>
  <c r="AQ9" i="43"/>
  <c r="AP9" i="43"/>
  <c r="AO9" i="43"/>
  <c r="AN9" i="43"/>
  <c r="AM9" i="43"/>
  <c r="AL9" i="43"/>
  <c r="AK9" i="43"/>
  <c r="AJ9" i="43"/>
  <c r="AI9" i="43"/>
  <c r="AH9" i="43"/>
  <c r="AG9" i="43"/>
  <c r="AF9" i="43"/>
  <c r="AE9" i="43"/>
  <c r="AD9" i="43"/>
  <c r="AC9" i="43"/>
  <c r="AB9" i="43"/>
  <c r="AA9" i="43"/>
  <c r="Z9" i="43"/>
  <c r="Y9" i="43"/>
  <c r="X9" i="43"/>
  <c r="W9" i="43"/>
  <c r="V9" i="43"/>
  <c r="U9" i="43"/>
  <c r="S9" i="43"/>
  <c r="Q9" i="43"/>
  <c r="P9" i="43"/>
  <c r="N9" i="43"/>
  <c r="M9" i="43"/>
  <c r="L9" i="43"/>
  <c r="K9" i="43"/>
  <c r="AS8" i="43"/>
  <c r="AR8" i="43"/>
  <c r="AQ8" i="43"/>
  <c r="AP8" i="43"/>
  <c r="AO8" i="43"/>
  <c r="AN8" i="43"/>
  <c r="AM8" i="43"/>
  <c r="AL8" i="43"/>
  <c r="AK8" i="43"/>
  <c r="AJ8" i="43"/>
  <c r="AI8" i="43"/>
  <c r="AH8" i="43"/>
  <c r="AG8" i="43"/>
  <c r="AF8" i="43"/>
  <c r="AE8" i="43"/>
  <c r="AD8" i="43"/>
  <c r="AC8" i="43"/>
  <c r="AB8" i="43"/>
  <c r="AA8" i="43"/>
  <c r="Z8" i="43"/>
  <c r="Y8" i="43"/>
  <c r="X8" i="43"/>
  <c r="W8" i="43"/>
  <c r="V8" i="43"/>
  <c r="U8" i="43"/>
  <c r="S8" i="43"/>
  <c r="Q8" i="43"/>
  <c r="P8" i="43"/>
  <c r="N8" i="43"/>
  <c r="M8" i="43"/>
  <c r="L8" i="43"/>
  <c r="K8" i="43"/>
  <c r="AS7" i="43"/>
  <c r="AR7" i="43"/>
  <c r="AQ7" i="43"/>
  <c r="AP7" i="43"/>
  <c r="AO7" i="43"/>
  <c r="AN7" i="43"/>
  <c r="AM7" i="43"/>
  <c r="AL7" i="43"/>
  <c r="AK7" i="43"/>
  <c r="AJ7" i="43"/>
  <c r="AI7" i="43"/>
  <c r="AH7" i="43"/>
  <c r="AG7" i="43"/>
  <c r="AF7" i="43"/>
  <c r="AE7" i="43"/>
  <c r="AD7" i="43"/>
  <c r="AC7" i="43"/>
  <c r="AB7" i="43"/>
  <c r="AA7" i="43"/>
  <c r="Z7" i="43"/>
  <c r="Y7" i="43"/>
  <c r="X7" i="43"/>
  <c r="W7" i="43"/>
  <c r="V7" i="43"/>
  <c r="U7" i="43"/>
  <c r="S7" i="43"/>
  <c r="Q7" i="43"/>
  <c r="P7" i="43"/>
  <c r="N7" i="43"/>
  <c r="L7" i="43"/>
  <c r="K7" i="43"/>
  <c r="AS6" i="43"/>
  <c r="AR6" i="43"/>
  <c r="AQ6" i="43"/>
  <c r="AP6" i="43"/>
  <c r="AO6" i="43"/>
  <c r="AN6" i="43"/>
  <c r="AM6" i="43"/>
  <c r="AL6" i="43"/>
  <c r="AK6" i="43"/>
  <c r="AJ6" i="43"/>
  <c r="AI6" i="43"/>
  <c r="AH6" i="43"/>
  <c r="AG6" i="43"/>
  <c r="AF6" i="43"/>
  <c r="AE6" i="43"/>
  <c r="AD6" i="43"/>
  <c r="AC6" i="43"/>
  <c r="AB6" i="43"/>
  <c r="AA6" i="43"/>
  <c r="Z6" i="43"/>
  <c r="Y6" i="43"/>
  <c r="X6" i="43"/>
  <c r="W6" i="43"/>
  <c r="V6" i="43"/>
  <c r="U6" i="43"/>
  <c r="S6" i="43"/>
  <c r="Q6" i="43"/>
  <c r="N6" i="43"/>
  <c r="L6" i="43"/>
  <c r="K6" i="43"/>
  <c r="J14" i="62" l="1"/>
  <c r="J33" i="62" s="1"/>
  <c r="K42" i="46"/>
  <c r="K43" i="46" s="1"/>
  <c r="L42" i="46"/>
  <c r="L43" i="46" s="1"/>
  <c r="G61" i="46"/>
  <c r="G59" i="46"/>
  <c r="G65" i="46"/>
  <c r="G63" i="46"/>
  <c r="G52" i="46"/>
  <c r="G55" i="46"/>
  <c r="G57" i="46"/>
  <c r="G64" i="46"/>
  <c r="G54" i="46"/>
  <c r="G51" i="46"/>
  <c r="G58" i="46"/>
  <c r="G53" i="46"/>
  <c r="G60" i="46"/>
  <c r="G56" i="46"/>
  <c r="G50" i="46"/>
  <c r="G62" i="46"/>
  <c r="G66" i="46" l="1"/>
  <c r="B11" i="44"/>
  <c r="E45" i="43" l="1"/>
  <c r="C42" i="44"/>
  <c r="A40" i="44"/>
  <c r="A39" i="44"/>
  <c r="A38" i="44"/>
  <c r="A37" i="44"/>
  <c r="A36" i="44"/>
  <c r="A35" i="44"/>
  <c r="A34" i="44"/>
  <c r="A33" i="44"/>
  <c r="A32" i="44"/>
  <c r="A31" i="44"/>
  <c r="A30" i="44"/>
  <c r="A29" i="44"/>
  <c r="A28" i="44"/>
  <c r="A27" i="44"/>
  <c r="A26" i="44"/>
  <c r="A25" i="44"/>
  <c r="B23" i="44"/>
  <c r="I21" i="44"/>
  <c r="H21" i="44"/>
  <c r="G21" i="44"/>
  <c r="F21" i="44"/>
  <c r="E21" i="44"/>
  <c r="E40" i="44" s="1"/>
  <c r="C21" i="44"/>
  <c r="AT40" i="44" s="1"/>
  <c r="B21" i="44"/>
  <c r="I20" i="44"/>
  <c r="H20" i="44"/>
  <c r="G20" i="44"/>
  <c r="F20" i="44"/>
  <c r="E20" i="44"/>
  <c r="E39" i="44" s="1"/>
  <c r="C20" i="44"/>
  <c r="AT39" i="44" s="1"/>
  <c r="B20" i="44"/>
  <c r="I19" i="44"/>
  <c r="H19" i="44"/>
  <c r="G19" i="44"/>
  <c r="F19" i="44"/>
  <c r="E19" i="44"/>
  <c r="E38" i="44" s="1"/>
  <c r="C19" i="44"/>
  <c r="AT38" i="44" s="1"/>
  <c r="B19" i="44"/>
  <c r="I18" i="44"/>
  <c r="H18" i="44"/>
  <c r="G18" i="44"/>
  <c r="F18" i="44"/>
  <c r="E18" i="44"/>
  <c r="E37" i="44" s="1"/>
  <c r="C18" i="44"/>
  <c r="AT37" i="44" s="1"/>
  <c r="B18" i="44"/>
  <c r="I17" i="44"/>
  <c r="H17" i="44"/>
  <c r="G17" i="44"/>
  <c r="F17" i="44"/>
  <c r="E17" i="44"/>
  <c r="E36" i="44" s="1"/>
  <c r="C17" i="44"/>
  <c r="AT36" i="44" s="1"/>
  <c r="B17" i="44"/>
  <c r="I16" i="44"/>
  <c r="H16" i="44"/>
  <c r="G16" i="44"/>
  <c r="F16" i="44"/>
  <c r="E16" i="44"/>
  <c r="E35" i="44" s="1"/>
  <c r="C16" i="44"/>
  <c r="AT35" i="44" s="1"/>
  <c r="B16" i="44"/>
  <c r="I15" i="44"/>
  <c r="H15" i="44"/>
  <c r="G15" i="44"/>
  <c r="F15" i="44"/>
  <c r="E15" i="44"/>
  <c r="E34" i="44" s="1"/>
  <c r="C15" i="44"/>
  <c r="AT34" i="44" s="1"/>
  <c r="B15" i="44"/>
  <c r="I14" i="44"/>
  <c r="H14" i="44"/>
  <c r="G14" i="44"/>
  <c r="F14" i="44"/>
  <c r="E14" i="44"/>
  <c r="E33" i="44" s="1"/>
  <c r="C14" i="44"/>
  <c r="AT33" i="44" s="1"/>
  <c r="B14" i="44"/>
  <c r="I13" i="44"/>
  <c r="H13" i="44"/>
  <c r="G13" i="44"/>
  <c r="F13" i="44"/>
  <c r="E13" i="44"/>
  <c r="E32" i="44" s="1"/>
  <c r="C13" i="44"/>
  <c r="AT32" i="44" s="1"/>
  <c r="B13" i="44"/>
  <c r="I12" i="44"/>
  <c r="H12" i="44"/>
  <c r="G12" i="44"/>
  <c r="F12" i="44"/>
  <c r="E12" i="44"/>
  <c r="E31" i="44" s="1"/>
  <c r="C12" i="44"/>
  <c r="AT31" i="44" s="1"/>
  <c r="B12" i="44"/>
  <c r="B31" i="44" s="1"/>
  <c r="I11" i="44"/>
  <c r="H11" i="44"/>
  <c r="G11" i="44"/>
  <c r="F11" i="44"/>
  <c r="E11" i="44"/>
  <c r="E30" i="44" s="1"/>
  <c r="C11" i="44"/>
  <c r="AT30" i="44" s="1"/>
  <c r="B30" i="44"/>
  <c r="I10" i="44"/>
  <c r="F10" i="44"/>
  <c r="E10" i="44"/>
  <c r="E29" i="44" s="1"/>
  <c r="C10" i="44"/>
  <c r="AT29" i="44" s="1"/>
  <c r="B10" i="44"/>
  <c r="B29" i="44" s="1"/>
  <c r="I9" i="44"/>
  <c r="F9" i="44"/>
  <c r="E9" i="44"/>
  <c r="E28" i="44" s="1"/>
  <c r="C9" i="44"/>
  <c r="AT28" i="44" s="1"/>
  <c r="B9" i="44"/>
  <c r="B28" i="44" s="1"/>
  <c r="I8" i="44"/>
  <c r="F8" i="44"/>
  <c r="E8" i="44"/>
  <c r="E27" i="44" s="1"/>
  <c r="C8" i="44"/>
  <c r="AT27" i="44" s="1"/>
  <c r="B8" i="44"/>
  <c r="B27" i="44" s="1"/>
  <c r="I7" i="44"/>
  <c r="F7" i="44"/>
  <c r="E7" i="44"/>
  <c r="E26" i="44" s="1"/>
  <c r="C7" i="44"/>
  <c r="AT26" i="44" s="1"/>
  <c r="B7" i="44"/>
  <c r="B26" i="44" s="1"/>
  <c r="I6" i="44"/>
  <c r="F6" i="44"/>
  <c r="E6" i="44"/>
  <c r="E25" i="44" s="1"/>
  <c r="C6" i="44"/>
  <c r="AT25" i="44" s="1"/>
  <c r="B6" i="44"/>
  <c r="B25" i="44" s="1"/>
  <c r="J6" i="44" l="1"/>
  <c r="K38" i="44"/>
  <c r="L38" i="44"/>
  <c r="K28" i="44"/>
  <c r="L28" i="44"/>
  <c r="K32" i="44"/>
  <c r="L32" i="44"/>
  <c r="K36" i="44"/>
  <c r="L36" i="44"/>
  <c r="L25" i="44"/>
  <c r="K25" i="44"/>
  <c r="I55" i="44"/>
  <c r="I54" i="44"/>
  <c r="I53" i="44"/>
  <c r="L29" i="44"/>
  <c r="K29" i="44"/>
  <c r="L31" i="44"/>
  <c r="K31" i="44"/>
  <c r="L35" i="44"/>
  <c r="K35" i="44"/>
  <c r="L39" i="44"/>
  <c r="K39" i="44"/>
  <c r="K26" i="44"/>
  <c r="L26" i="44"/>
  <c r="L27" i="44"/>
  <c r="K27" i="44"/>
  <c r="L33" i="44"/>
  <c r="K33" i="44"/>
  <c r="L37" i="44"/>
  <c r="K37" i="44"/>
  <c r="K30" i="44"/>
  <c r="L30" i="44"/>
  <c r="K34" i="44"/>
  <c r="L34" i="44"/>
  <c r="K40" i="44"/>
  <c r="L40" i="44"/>
  <c r="E43" i="44"/>
  <c r="E42" i="44" s="1"/>
  <c r="AS25" i="44"/>
  <c r="AQ25" i="44"/>
  <c r="AO25" i="44"/>
  <c r="AM25" i="44"/>
  <c r="AK25" i="44"/>
  <c r="AI25" i="44"/>
  <c r="AG25" i="44"/>
  <c r="AE25" i="44"/>
  <c r="AC25" i="44"/>
  <c r="AA25" i="44"/>
  <c r="Y25" i="44"/>
  <c r="W25" i="44"/>
  <c r="U25" i="44"/>
  <c r="S25" i="44"/>
  <c r="Q25" i="44"/>
  <c r="F25" i="44"/>
  <c r="AR25" i="44"/>
  <c r="AN25" i="44"/>
  <c r="AJ25" i="44"/>
  <c r="AF25" i="44"/>
  <c r="AB25" i="44"/>
  <c r="X25" i="44"/>
  <c r="I25" i="44"/>
  <c r="AP25" i="44"/>
  <c r="AL25" i="44"/>
  <c r="AH25" i="44"/>
  <c r="AD25" i="44"/>
  <c r="Z25" i="44"/>
  <c r="N25" i="44"/>
  <c r="AS26" i="44"/>
  <c r="AQ26" i="44"/>
  <c r="AO26" i="44"/>
  <c r="AM26" i="44"/>
  <c r="AK26" i="44"/>
  <c r="AI26" i="44"/>
  <c r="AG26" i="44"/>
  <c r="AE26" i="44"/>
  <c r="AC26" i="44"/>
  <c r="AA26" i="44"/>
  <c r="Y26" i="44"/>
  <c r="W26" i="44"/>
  <c r="U26" i="44"/>
  <c r="S26" i="44"/>
  <c r="Q26" i="44"/>
  <c r="F26" i="44"/>
  <c r="AR26" i="44"/>
  <c r="AN26" i="44"/>
  <c r="AJ26" i="44"/>
  <c r="AF26" i="44"/>
  <c r="AB26" i="44"/>
  <c r="X26" i="44"/>
  <c r="P26" i="44"/>
  <c r="I26" i="44"/>
  <c r="AP26" i="44"/>
  <c r="AL26" i="44"/>
  <c r="AH26" i="44"/>
  <c r="AD26" i="44"/>
  <c r="Z26" i="44"/>
  <c r="N26" i="44"/>
  <c r="AS27" i="44"/>
  <c r="AQ27" i="44"/>
  <c r="AO27" i="44"/>
  <c r="AM27" i="44"/>
  <c r="AK27" i="44"/>
  <c r="AI27" i="44"/>
  <c r="AG27" i="44"/>
  <c r="AE27" i="44"/>
  <c r="AC27" i="44"/>
  <c r="AA27" i="44"/>
  <c r="Y27" i="44"/>
  <c r="W27" i="44"/>
  <c r="U27" i="44"/>
  <c r="M27" i="44"/>
  <c r="F27" i="44"/>
  <c r="AR27" i="44"/>
  <c r="AN27" i="44"/>
  <c r="AJ27" i="44"/>
  <c r="AF27" i="44"/>
  <c r="AB27" i="44"/>
  <c r="X27" i="44"/>
  <c r="P27" i="44"/>
  <c r="I27" i="44"/>
  <c r="AP27" i="44"/>
  <c r="AL27" i="44"/>
  <c r="AH27" i="44"/>
  <c r="AD27" i="44"/>
  <c r="Z27" i="44"/>
  <c r="AS28" i="44"/>
  <c r="AQ28" i="44"/>
  <c r="AO28" i="44"/>
  <c r="AM28" i="44"/>
  <c r="AK28" i="44"/>
  <c r="AI28" i="44"/>
  <c r="AG28" i="44"/>
  <c r="AE28" i="44"/>
  <c r="AC28" i="44"/>
  <c r="AA28" i="44"/>
  <c r="Y28" i="44"/>
  <c r="W28" i="44"/>
  <c r="U28" i="44"/>
  <c r="M28" i="44"/>
  <c r="F28" i="44"/>
  <c r="AR28" i="44"/>
  <c r="AN28" i="44"/>
  <c r="AJ28" i="44"/>
  <c r="AF28" i="44"/>
  <c r="AB28" i="44"/>
  <c r="X28" i="44"/>
  <c r="P28" i="44"/>
  <c r="I28" i="44"/>
  <c r="AP28" i="44"/>
  <c r="AL28" i="44"/>
  <c r="AH28" i="44"/>
  <c r="AD28" i="44"/>
  <c r="Z28" i="44"/>
  <c r="AS29" i="44"/>
  <c r="AQ29" i="44"/>
  <c r="AO29" i="44"/>
  <c r="AM29" i="44"/>
  <c r="AK29" i="44"/>
  <c r="AI29" i="44"/>
  <c r="AG29" i="44"/>
  <c r="AE29" i="44"/>
  <c r="AC29" i="44"/>
  <c r="AA29" i="44"/>
  <c r="Y29" i="44"/>
  <c r="W29" i="44"/>
  <c r="U29" i="44"/>
  <c r="M29" i="44"/>
  <c r="F29" i="44"/>
  <c r="AR29" i="44"/>
  <c r="AN29" i="44"/>
  <c r="AJ29" i="44"/>
  <c r="AF29" i="44"/>
  <c r="AB29" i="44"/>
  <c r="X29" i="44"/>
  <c r="P29" i="44"/>
  <c r="I29" i="44"/>
  <c r="AP29" i="44"/>
  <c r="AL29" i="44"/>
  <c r="AH29" i="44"/>
  <c r="AD29" i="44"/>
  <c r="Z29" i="44"/>
  <c r="AS30" i="44"/>
  <c r="AQ30" i="44"/>
  <c r="AO30" i="44"/>
  <c r="AM30" i="44"/>
  <c r="AK30" i="44"/>
  <c r="AI30" i="44"/>
  <c r="AG30" i="44"/>
  <c r="AE30" i="44"/>
  <c r="AC30" i="44"/>
  <c r="AA30" i="44"/>
  <c r="Y30" i="44"/>
  <c r="W30" i="44"/>
  <c r="U30" i="44"/>
  <c r="S30" i="44"/>
  <c r="Q30" i="44"/>
  <c r="O30" i="44"/>
  <c r="M30" i="44"/>
  <c r="H30" i="44"/>
  <c r="F30" i="44"/>
  <c r="AR30" i="44"/>
  <c r="AN30" i="44"/>
  <c r="AJ30" i="44"/>
  <c r="AF30" i="44"/>
  <c r="AB30" i="44"/>
  <c r="X30" i="44"/>
  <c r="P30" i="44"/>
  <c r="I30" i="44"/>
  <c r="AP30" i="44"/>
  <c r="AL30" i="44"/>
  <c r="AH30" i="44"/>
  <c r="AD30" i="44"/>
  <c r="Z30" i="44"/>
  <c r="R30" i="44"/>
  <c r="N30" i="44"/>
  <c r="J30" i="44"/>
  <c r="G30" i="44"/>
  <c r="AS31" i="44"/>
  <c r="AQ31" i="44"/>
  <c r="AO31" i="44"/>
  <c r="AM31" i="44"/>
  <c r="AK31" i="44"/>
  <c r="AI31" i="44"/>
  <c r="AG31" i="44"/>
  <c r="AE31" i="44"/>
  <c r="AC31" i="44"/>
  <c r="AA31" i="44"/>
  <c r="Y31" i="44"/>
  <c r="W31" i="44"/>
  <c r="U31" i="44"/>
  <c r="S31" i="44"/>
  <c r="Q31" i="44"/>
  <c r="O31" i="44"/>
  <c r="M31" i="44"/>
  <c r="H31" i="44"/>
  <c r="F31" i="44"/>
  <c r="AR31" i="44"/>
  <c r="AP31" i="44"/>
  <c r="AN31" i="44"/>
  <c r="AL31" i="44"/>
  <c r="AJ31" i="44"/>
  <c r="AH31" i="44"/>
  <c r="AF31" i="44"/>
  <c r="AD31" i="44"/>
  <c r="AB31" i="44"/>
  <c r="Z31" i="44"/>
  <c r="X31" i="44"/>
  <c r="T31" i="44"/>
  <c r="R31" i="44"/>
  <c r="P31" i="44"/>
  <c r="I31" i="44"/>
  <c r="N31" i="44"/>
  <c r="J31" i="44"/>
  <c r="G31" i="44"/>
  <c r="B32" i="44"/>
  <c r="AS32" i="44"/>
  <c r="AQ32" i="44"/>
  <c r="AO32" i="44"/>
  <c r="AM32" i="44"/>
  <c r="AK32" i="44"/>
  <c r="AI32" i="44"/>
  <c r="AG32" i="44"/>
  <c r="AE32" i="44"/>
  <c r="AC32" i="44"/>
  <c r="AA32" i="44"/>
  <c r="Y32" i="44"/>
  <c r="W32" i="44"/>
  <c r="U32" i="44"/>
  <c r="Q32" i="44"/>
  <c r="O32" i="44"/>
  <c r="M32" i="44"/>
  <c r="H32" i="44"/>
  <c r="F32" i="44"/>
  <c r="AR32" i="44"/>
  <c r="AP32" i="44"/>
  <c r="AN32" i="44"/>
  <c r="AL32" i="44"/>
  <c r="AJ32" i="44"/>
  <c r="AH32" i="44"/>
  <c r="AF32" i="44"/>
  <c r="AD32" i="44"/>
  <c r="AB32" i="44"/>
  <c r="Z32" i="44"/>
  <c r="X32" i="44"/>
  <c r="R32" i="44"/>
  <c r="P32" i="44"/>
  <c r="N32" i="44"/>
  <c r="J32" i="44"/>
  <c r="I32" i="44"/>
  <c r="G32" i="44"/>
  <c r="B33" i="44"/>
  <c r="AS33" i="44"/>
  <c r="AQ33" i="44"/>
  <c r="AO33" i="44"/>
  <c r="AM33" i="44"/>
  <c r="AK33" i="44"/>
  <c r="AP33" i="44"/>
  <c r="AL33" i="44"/>
  <c r="AI33" i="44"/>
  <c r="AG33" i="44"/>
  <c r="AE33" i="44"/>
  <c r="AC33" i="44"/>
  <c r="AA33" i="44"/>
  <c r="Y33" i="44"/>
  <c r="W33" i="44"/>
  <c r="U33" i="44"/>
  <c r="Q33" i="44"/>
  <c r="O33" i="44"/>
  <c r="M33" i="44"/>
  <c r="H33" i="44"/>
  <c r="F33" i="44"/>
  <c r="AR33" i="44"/>
  <c r="AN33" i="44"/>
  <c r="AJ33" i="44"/>
  <c r="AH33" i="44"/>
  <c r="AF33" i="44"/>
  <c r="AD33" i="44"/>
  <c r="AB33" i="44"/>
  <c r="Z33" i="44"/>
  <c r="X33" i="44"/>
  <c r="R33" i="44"/>
  <c r="P33" i="44"/>
  <c r="N33" i="44"/>
  <c r="J33" i="44"/>
  <c r="I33" i="44"/>
  <c r="G33" i="44"/>
  <c r="B34" i="44"/>
  <c r="AS34" i="44"/>
  <c r="AQ34" i="44"/>
  <c r="AO34" i="44"/>
  <c r="AM34" i="44"/>
  <c r="AK34" i="44"/>
  <c r="AI34" i="44"/>
  <c r="AG34" i="44"/>
  <c r="AE34" i="44"/>
  <c r="AC34" i="44"/>
  <c r="AA34" i="44"/>
  <c r="Y34" i="44"/>
  <c r="W34" i="44"/>
  <c r="U34" i="44"/>
  <c r="S34" i="44"/>
  <c r="Q34" i="44"/>
  <c r="O34" i="44"/>
  <c r="M34" i="44"/>
  <c r="H34" i="44"/>
  <c r="F34" i="44"/>
  <c r="AP34" i="44"/>
  <c r="AL34" i="44"/>
  <c r="AH34" i="44"/>
  <c r="AD34" i="44"/>
  <c r="Z34" i="44"/>
  <c r="R34" i="44"/>
  <c r="N34" i="44"/>
  <c r="J34" i="44"/>
  <c r="G34" i="44"/>
  <c r="AR34" i="44"/>
  <c r="AN34" i="44"/>
  <c r="AJ34" i="44"/>
  <c r="AF34" i="44"/>
  <c r="AB34" i="44"/>
  <c r="X34" i="44"/>
  <c r="T34" i="44"/>
  <c r="P34" i="44"/>
  <c r="I34" i="44"/>
  <c r="B35" i="44"/>
  <c r="AS35" i="44"/>
  <c r="AQ35" i="44"/>
  <c r="AO35" i="44"/>
  <c r="AM35" i="44"/>
  <c r="AK35" i="44"/>
  <c r="AI35" i="44"/>
  <c r="AG35" i="44"/>
  <c r="AE35" i="44"/>
  <c r="AC35" i="44"/>
  <c r="AA35" i="44"/>
  <c r="Y35" i="44"/>
  <c r="W35" i="44"/>
  <c r="U35" i="44"/>
  <c r="S35" i="44"/>
  <c r="Q35" i="44"/>
  <c r="O35" i="44"/>
  <c r="M35" i="44"/>
  <c r="H35" i="44"/>
  <c r="F35" i="44"/>
  <c r="AP35" i="44"/>
  <c r="AL35" i="44"/>
  <c r="AH35" i="44"/>
  <c r="AD35" i="44"/>
  <c r="Z35" i="44"/>
  <c r="R35" i="44"/>
  <c r="N35" i="44"/>
  <c r="J35" i="44"/>
  <c r="G35" i="44"/>
  <c r="AR35" i="44"/>
  <c r="AN35" i="44"/>
  <c r="AJ35" i="44"/>
  <c r="AF35" i="44"/>
  <c r="AB35" i="44"/>
  <c r="X35" i="44"/>
  <c r="T35" i="44"/>
  <c r="P35" i="44"/>
  <c r="I35" i="44"/>
  <c r="B36" i="44"/>
  <c r="AS36" i="44"/>
  <c r="AQ36" i="44"/>
  <c r="AO36" i="44"/>
  <c r="AM36" i="44"/>
  <c r="AK36" i="44"/>
  <c r="AI36" i="44"/>
  <c r="AG36" i="44"/>
  <c r="AE36" i="44"/>
  <c r="AC36" i="44"/>
  <c r="AA36" i="44"/>
  <c r="Y36" i="44"/>
  <c r="W36" i="44"/>
  <c r="U36" i="44"/>
  <c r="S36" i="44"/>
  <c r="Q36" i="44"/>
  <c r="O36" i="44"/>
  <c r="M36" i="44"/>
  <c r="H36" i="44"/>
  <c r="F36" i="44"/>
  <c r="AP36" i="44"/>
  <c r="AL36" i="44"/>
  <c r="AH36" i="44"/>
  <c r="AD36" i="44"/>
  <c r="Z36" i="44"/>
  <c r="R36" i="44"/>
  <c r="N36" i="44"/>
  <c r="J36" i="44"/>
  <c r="G36" i="44"/>
  <c r="AR36" i="44"/>
  <c r="AN36" i="44"/>
  <c r="AJ36" i="44"/>
  <c r="AF36" i="44"/>
  <c r="AB36" i="44"/>
  <c r="X36" i="44"/>
  <c r="T36" i="44"/>
  <c r="P36" i="44"/>
  <c r="I36" i="44"/>
  <c r="B37" i="44"/>
  <c r="AS37" i="44"/>
  <c r="AQ37" i="44"/>
  <c r="AO37" i="44"/>
  <c r="AM37" i="44"/>
  <c r="AK37" i="44"/>
  <c r="AI37" i="44"/>
  <c r="AG37" i="44"/>
  <c r="AE37" i="44"/>
  <c r="AC37" i="44"/>
  <c r="AA37" i="44"/>
  <c r="Y37" i="44"/>
  <c r="W37" i="44"/>
  <c r="U37" i="44"/>
  <c r="S37" i="44"/>
  <c r="Q37" i="44"/>
  <c r="O37" i="44"/>
  <c r="M37" i="44"/>
  <c r="H37" i="44"/>
  <c r="F37" i="44"/>
  <c r="AP37" i="44"/>
  <c r="AL37" i="44"/>
  <c r="AH37" i="44"/>
  <c r="AD37" i="44"/>
  <c r="Z37" i="44"/>
  <c r="R37" i="44"/>
  <c r="N37" i="44"/>
  <c r="J37" i="44"/>
  <c r="G37" i="44"/>
  <c r="AR37" i="44"/>
  <c r="AN37" i="44"/>
  <c r="AJ37" i="44"/>
  <c r="AF37" i="44"/>
  <c r="AB37" i="44"/>
  <c r="X37" i="44"/>
  <c r="T37" i="44"/>
  <c r="P37" i="44"/>
  <c r="I37" i="44"/>
  <c r="B38" i="44"/>
  <c r="AS38" i="44"/>
  <c r="AQ38" i="44"/>
  <c r="AO38" i="44"/>
  <c r="AM38" i="44"/>
  <c r="AK38" i="44"/>
  <c r="AI38" i="44"/>
  <c r="AG38" i="44"/>
  <c r="AE38" i="44"/>
  <c r="AC38" i="44"/>
  <c r="AA38" i="44"/>
  <c r="Y38" i="44"/>
  <c r="W38" i="44"/>
  <c r="U38" i="44"/>
  <c r="S38" i="44"/>
  <c r="Q38" i="44"/>
  <c r="O38" i="44"/>
  <c r="M38" i="44"/>
  <c r="H38" i="44"/>
  <c r="F38" i="44"/>
  <c r="AP38" i="44"/>
  <c r="AL38" i="44"/>
  <c r="AH38" i="44"/>
  <c r="AD38" i="44"/>
  <c r="Z38" i="44"/>
  <c r="R38" i="44"/>
  <c r="N38" i="44"/>
  <c r="J38" i="44"/>
  <c r="G38" i="44"/>
  <c r="AR38" i="44"/>
  <c r="AN38" i="44"/>
  <c r="AJ38" i="44"/>
  <c r="AF38" i="44"/>
  <c r="AB38" i="44"/>
  <c r="X38" i="44"/>
  <c r="T38" i="44"/>
  <c r="P38" i="44"/>
  <c r="I38" i="44"/>
  <c r="B39" i="44"/>
  <c r="AS39" i="44"/>
  <c r="AQ39" i="44"/>
  <c r="AO39" i="44"/>
  <c r="AM39" i="44"/>
  <c r="AK39" i="44"/>
  <c r="AI39" i="44"/>
  <c r="AG39" i="44"/>
  <c r="AE39" i="44"/>
  <c r="AC39" i="44"/>
  <c r="AA39" i="44"/>
  <c r="Y39" i="44"/>
  <c r="W39" i="44"/>
  <c r="U39" i="44"/>
  <c r="S39" i="44"/>
  <c r="Q39" i="44"/>
  <c r="O39" i="44"/>
  <c r="M39" i="44"/>
  <c r="H39" i="44"/>
  <c r="F39" i="44"/>
  <c r="AP39" i="44"/>
  <c r="AL39" i="44"/>
  <c r="AH39" i="44"/>
  <c r="AD39" i="44"/>
  <c r="Z39" i="44"/>
  <c r="R39" i="44"/>
  <c r="N39" i="44"/>
  <c r="J39" i="44"/>
  <c r="G39" i="44"/>
  <c r="AR39" i="44"/>
  <c r="AN39" i="44"/>
  <c r="AJ39" i="44"/>
  <c r="AF39" i="44"/>
  <c r="AB39" i="44"/>
  <c r="X39" i="44"/>
  <c r="T39" i="44"/>
  <c r="P39" i="44"/>
  <c r="I39" i="44"/>
  <c r="B40" i="44"/>
  <c r="AS40" i="44"/>
  <c r="AQ40" i="44"/>
  <c r="AO40" i="44"/>
  <c r="AM40" i="44"/>
  <c r="AK40" i="44"/>
  <c r="AI40" i="44"/>
  <c r="AG40" i="44"/>
  <c r="AE40" i="44"/>
  <c r="AC40" i="44"/>
  <c r="AA40" i="44"/>
  <c r="Y40" i="44"/>
  <c r="W40" i="44"/>
  <c r="U40" i="44"/>
  <c r="S40" i="44"/>
  <c r="Q40" i="44"/>
  <c r="O40" i="44"/>
  <c r="M40" i="44"/>
  <c r="H40" i="44"/>
  <c r="F40" i="44"/>
  <c r="AP40" i="44"/>
  <c r="AL40" i="44"/>
  <c r="AH40" i="44"/>
  <c r="AD40" i="44"/>
  <c r="Z40" i="44"/>
  <c r="R40" i="44"/>
  <c r="N40" i="44"/>
  <c r="J40" i="44"/>
  <c r="G40" i="44"/>
  <c r="AR40" i="44"/>
  <c r="AN40" i="44"/>
  <c r="AJ40" i="44"/>
  <c r="AF40" i="44"/>
  <c r="AB40" i="44"/>
  <c r="X40" i="44"/>
  <c r="T40" i="44"/>
  <c r="P40" i="44"/>
  <c r="I40" i="44"/>
  <c r="G73" i="44"/>
  <c r="G72" i="44"/>
  <c r="I49" i="44" l="1"/>
  <c r="D31" i="44"/>
  <c r="D38" i="44"/>
  <c r="D40" i="44"/>
  <c r="D34" i="44"/>
  <c r="D36" i="44"/>
  <c r="V25" i="44"/>
  <c r="V40" i="44"/>
  <c r="V34" i="44"/>
  <c r="V36" i="44"/>
  <c r="V32" i="44"/>
  <c r="V38" i="44"/>
  <c r="D29" i="44"/>
  <c r="D26" i="44"/>
  <c r="H1" i="44"/>
  <c r="H2" i="44" s="1"/>
  <c r="K42" i="44"/>
  <c r="K43" i="44" s="1"/>
  <c r="V30" i="44"/>
  <c r="V28" i="44"/>
  <c r="V26" i="44"/>
  <c r="AD42" i="44"/>
  <c r="AD43" i="44" s="1"/>
  <c r="AL42" i="44"/>
  <c r="AL43" i="44" s="1"/>
  <c r="I42" i="44"/>
  <c r="I43" i="44" s="1"/>
  <c r="AB42" i="44"/>
  <c r="AB43" i="44" s="1"/>
  <c r="AJ42" i="44"/>
  <c r="AJ43" i="44" s="1"/>
  <c r="AR42" i="44"/>
  <c r="F42" i="44"/>
  <c r="F43" i="44" s="1"/>
  <c r="W42" i="44"/>
  <c r="W43" i="44" s="1"/>
  <c r="AA42" i="44"/>
  <c r="AA43" i="44" s="1"/>
  <c r="AE42" i="44"/>
  <c r="AE43" i="44" s="1"/>
  <c r="AI42" i="44"/>
  <c r="AI43" i="44" s="1"/>
  <c r="AM42" i="44"/>
  <c r="AM43" i="44" s="1"/>
  <c r="AQ42" i="44"/>
  <c r="G74" i="44"/>
  <c r="L42" i="44"/>
  <c r="L43" i="44" s="1"/>
  <c r="V39" i="44"/>
  <c r="V37" i="44"/>
  <c r="V35" i="44"/>
  <c r="V33" i="44"/>
  <c r="V31" i="44"/>
  <c r="D39" i="44"/>
  <c r="D37" i="44"/>
  <c r="D35" i="44"/>
  <c r="D33" i="44"/>
  <c r="D32" i="44"/>
  <c r="V29" i="44"/>
  <c r="V27" i="44"/>
  <c r="D30" i="44"/>
  <c r="D28" i="44"/>
  <c r="D27" i="44"/>
  <c r="Z42" i="44"/>
  <c r="Z43" i="44" s="1"/>
  <c r="AH42" i="44"/>
  <c r="AH43" i="44" s="1"/>
  <c r="AP42" i="44"/>
  <c r="X42" i="44"/>
  <c r="AF42" i="44"/>
  <c r="AF43" i="44" s="1"/>
  <c r="AN42" i="44"/>
  <c r="AN43" i="44" s="1"/>
  <c r="D25" i="44"/>
  <c r="U42" i="44"/>
  <c r="U43" i="44" s="1"/>
  <c r="Y42" i="44"/>
  <c r="AC42" i="44"/>
  <c r="AC43" i="44" s="1"/>
  <c r="AG42" i="44"/>
  <c r="AG43" i="44" s="1"/>
  <c r="AK42" i="44"/>
  <c r="AK43" i="44" s="1"/>
  <c r="AO42" i="44"/>
  <c r="AO43" i="44" s="1"/>
  <c r="AS42" i="44"/>
  <c r="I52" i="44" l="1"/>
  <c r="I51" i="44"/>
  <c r="AP43" i="44"/>
  <c r="AS43" i="44"/>
  <c r="AQ43" i="44"/>
  <c r="AR43" i="44"/>
  <c r="V42" i="44"/>
  <c r="V43" i="44" s="1"/>
  <c r="I50" i="44" s="1"/>
  <c r="Y43" i="44"/>
  <c r="X43" i="44"/>
  <c r="D42" i="44"/>
  <c r="C42" i="43" l="1"/>
  <c r="A40" i="43"/>
  <c r="A39" i="43"/>
  <c r="A38" i="43"/>
  <c r="A37" i="43"/>
  <c r="A36" i="43"/>
  <c r="A35" i="43"/>
  <c r="A34" i="43"/>
  <c r="A33" i="43"/>
  <c r="A32" i="43"/>
  <c r="A31" i="43"/>
  <c r="A30" i="43"/>
  <c r="A29" i="43"/>
  <c r="A28" i="43"/>
  <c r="A27" i="43"/>
  <c r="A26" i="43"/>
  <c r="A25" i="43"/>
  <c r="B23" i="43"/>
  <c r="I21" i="43"/>
  <c r="H21" i="43"/>
  <c r="G21" i="43"/>
  <c r="F21" i="43"/>
  <c r="E21" i="43"/>
  <c r="E40" i="43" s="1"/>
  <c r="C21" i="43"/>
  <c r="AT40" i="43" s="1"/>
  <c r="B21" i="43"/>
  <c r="I20" i="43"/>
  <c r="H20" i="43"/>
  <c r="G20" i="43"/>
  <c r="F20" i="43"/>
  <c r="E20" i="43"/>
  <c r="E39" i="43" s="1"/>
  <c r="C20" i="43"/>
  <c r="AT39" i="43" s="1"/>
  <c r="B20" i="43"/>
  <c r="I19" i="43"/>
  <c r="H19" i="43"/>
  <c r="G19" i="43"/>
  <c r="F19" i="43"/>
  <c r="E19" i="43"/>
  <c r="E38" i="43" s="1"/>
  <c r="C19" i="43"/>
  <c r="AT38" i="43" s="1"/>
  <c r="B19" i="43"/>
  <c r="I18" i="43"/>
  <c r="H18" i="43"/>
  <c r="G18" i="43"/>
  <c r="F18" i="43"/>
  <c r="E18" i="43"/>
  <c r="E37" i="43" s="1"/>
  <c r="C18" i="43"/>
  <c r="AT37" i="43" s="1"/>
  <c r="B18" i="43"/>
  <c r="I17" i="43"/>
  <c r="H17" i="43"/>
  <c r="G17" i="43"/>
  <c r="F17" i="43"/>
  <c r="E17" i="43"/>
  <c r="E36" i="43" s="1"/>
  <c r="C17" i="43"/>
  <c r="AT36" i="43" s="1"/>
  <c r="B17" i="43"/>
  <c r="I16" i="43"/>
  <c r="H16" i="43"/>
  <c r="G16" i="43"/>
  <c r="F16" i="43"/>
  <c r="E16" i="43"/>
  <c r="E35" i="43" s="1"/>
  <c r="C16" i="43"/>
  <c r="AT35" i="43" s="1"/>
  <c r="B16" i="43"/>
  <c r="I15" i="43"/>
  <c r="H15" i="43"/>
  <c r="G15" i="43"/>
  <c r="F15" i="43"/>
  <c r="E15" i="43"/>
  <c r="E34" i="43" s="1"/>
  <c r="C15" i="43"/>
  <c r="AT34" i="43" s="1"/>
  <c r="B15" i="43"/>
  <c r="I14" i="43"/>
  <c r="H14" i="43"/>
  <c r="G14" i="43"/>
  <c r="F14" i="43"/>
  <c r="E14" i="43"/>
  <c r="E33" i="43" s="1"/>
  <c r="C14" i="43"/>
  <c r="AT33" i="43" s="1"/>
  <c r="B14" i="43"/>
  <c r="I13" i="43"/>
  <c r="H13" i="43"/>
  <c r="G13" i="43"/>
  <c r="F13" i="43"/>
  <c r="E13" i="43"/>
  <c r="E32" i="43" s="1"/>
  <c r="C13" i="43"/>
  <c r="AT32" i="43" s="1"/>
  <c r="B13" i="43"/>
  <c r="I12" i="43"/>
  <c r="H12" i="43"/>
  <c r="G12" i="43"/>
  <c r="F12" i="43"/>
  <c r="E12" i="43"/>
  <c r="E31" i="43" s="1"/>
  <c r="C12" i="43"/>
  <c r="AT31" i="43" s="1"/>
  <c r="B12" i="43"/>
  <c r="I11" i="43"/>
  <c r="H11" i="43"/>
  <c r="G11" i="43"/>
  <c r="F11" i="43"/>
  <c r="E11" i="43"/>
  <c r="E30" i="43" s="1"/>
  <c r="C11" i="43"/>
  <c r="AT30" i="43" s="1"/>
  <c r="B11" i="43"/>
  <c r="I10" i="43"/>
  <c r="F10" i="43"/>
  <c r="E10" i="43"/>
  <c r="E29" i="43" s="1"/>
  <c r="C10" i="43"/>
  <c r="AT29" i="43" s="1"/>
  <c r="B10" i="43"/>
  <c r="I9" i="43"/>
  <c r="F9" i="43"/>
  <c r="E9" i="43"/>
  <c r="E28" i="43" s="1"/>
  <c r="C9" i="43"/>
  <c r="AT28" i="43" s="1"/>
  <c r="B9" i="43"/>
  <c r="I8" i="43"/>
  <c r="F8" i="43"/>
  <c r="E8" i="43"/>
  <c r="E27" i="43" s="1"/>
  <c r="C8" i="43"/>
  <c r="AT27" i="43" s="1"/>
  <c r="B8" i="43"/>
  <c r="I7" i="43"/>
  <c r="F7" i="43"/>
  <c r="E7" i="43"/>
  <c r="E26" i="43" s="1"/>
  <c r="AT26" i="43"/>
  <c r="B7" i="43"/>
  <c r="I6" i="43"/>
  <c r="F6" i="43"/>
  <c r="E6" i="43"/>
  <c r="E25" i="43" s="1"/>
  <c r="AT25" i="43"/>
  <c r="B6" i="43"/>
  <c r="E43" i="43" l="1"/>
  <c r="E42" i="43" s="1"/>
  <c r="AV26" i="43"/>
  <c r="AV25" i="43"/>
  <c r="AV37" i="43"/>
  <c r="AV27" i="43"/>
  <c r="AU30" i="43"/>
  <c r="AU36" i="43"/>
  <c r="AU40" i="43"/>
  <c r="AU28" i="43"/>
  <c r="AV34" i="43"/>
  <c r="AU31" i="43"/>
  <c r="AU37" i="43"/>
  <c r="AU29" i="43"/>
  <c r="AV31" i="43"/>
  <c r="AV39" i="43"/>
  <c r="AU25" i="43"/>
  <c r="AU34" i="43"/>
  <c r="AU33" i="43"/>
  <c r="AV36" i="43"/>
  <c r="AV33" i="43"/>
  <c r="AU35" i="43"/>
  <c r="AU27" i="43"/>
  <c r="AV30" i="43"/>
  <c r="AV38" i="43"/>
  <c r="AV28" i="43"/>
  <c r="AV35" i="43"/>
  <c r="AV29" i="43"/>
  <c r="AU32" i="43"/>
  <c r="AU38" i="43"/>
  <c r="AV32" i="43"/>
  <c r="AV40" i="43"/>
  <c r="AU26" i="43"/>
  <c r="AU39" i="43"/>
  <c r="L29" i="43"/>
  <c r="K29" i="43"/>
  <c r="K35" i="43"/>
  <c r="L35" i="43"/>
  <c r="K39" i="43"/>
  <c r="L39" i="43"/>
  <c r="K26" i="43"/>
  <c r="L26" i="43"/>
  <c r="K30" i="43"/>
  <c r="L30" i="43"/>
  <c r="L34" i="43"/>
  <c r="K34" i="43"/>
  <c r="L38" i="43"/>
  <c r="K38" i="43"/>
  <c r="L27" i="43"/>
  <c r="K27" i="43"/>
  <c r="K37" i="43"/>
  <c r="L37" i="43"/>
  <c r="L25" i="43"/>
  <c r="K25" i="43"/>
  <c r="K33" i="43"/>
  <c r="L33" i="43"/>
  <c r="K28" i="43"/>
  <c r="L28" i="43"/>
  <c r="L32" i="43"/>
  <c r="K32" i="43"/>
  <c r="L36" i="43"/>
  <c r="K36" i="43"/>
  <c r="L40" i="43"/>
  <c r="K40" i="43"/>
  <c r="L31" i="43"/>
  <c r="K31" i="43"/>
  <c r="I57" i="43"/>
  <c r="I56" i="43"/>
  <c r="I55" i="43"/>
  <c r="B25" i="43"/>
  <c r="B26" i="43"/>
  <c r="B27" i="43"/>
  <c r="B28" i="43"/>
  <c r="B29" i="43"/>
  <c r="B30" i="43"/>
  <c r="B31" i="43"/>
  <c r="AR25" i="43"/>
  <c r="AP25" i="43"/>
  <c r="AN25" i="43"/>
  <c r="AL25" i="43"/>
  <c r="AJ25" i="43"/>
  <c r="AH25" i="43"/>
  <c r="AF25" i="43"/>
  <c r="AD25" i="43"/>
  <c r="AB25" i="43"/>
  <c r="Z25" i="43"/>
  <c r="X25" i="43"/>
  <c r="N25" i="43"/>
  <c r="I25" i="43"/>
  <c r="AS25" i="43"/>
  <c r="AQ25" i="43"/>
  <c r="AO25" i="43"/>
  <c r="AM25" i="43"/>
  <c r="AK25" i="43"/>
  <c r="AI25" i="43"/>
  <c r="AG25" i="43"/>
  <c r="AE25" i="43"/>
  <c r="AC25" i="43"/>
  <c r="AA25" i="43"/>
  <c r="Y25" i="43"/>
  <c r="W25" i="43"/>
  <c r="U25" i="43"/>
  <c r="S25" i="43"/>
  <c r="Q25" i="43"/>
  <c r="F25" i="43"/>
  <c r="AR26" i="43"/>
  <c r="AP26" i="43"/>
  <c r="AN26" i="43"/>
  <c r="AL26" i="43"/>
  <c r="AJ26" i="43"/>
  <c r="AH26" i="43"/>
  <c r="AF26" i="43"/>
  <c r="AD26" i="43"/>
  <c r="AB26" i="43"/>
  <c r="Z26" i="43"/>
  <c r="X26" i="43"/>
  <c r="P26" i="43"/>
  <c r="N26" i="43"/>
  <c r="I26" i="43"/>
  <c r="AS26" i="43"/>
  <c r="AQ26" i="43"/>
  <c r="AO26" i="43"/>
  <c r="AM26" i="43"/>
  <c r="AK26" i="43"/>
  <c r="AI26" i="43"/>
  <c r="AG26" i="43"/>
  <c r="AE26" i="43"/>
  <c r="AC26" i="43"/>
  <c r="AA26" i="43"/>
  <c r="Y26" i="43"/>
  <c r="W26" i="43"/>
  <c r="U26" i="43"/>
  <c r="S26" i="43"/>
  <c r="Q26" i="43"/>
  <c r="F26" i="43"/>
  <c r="AR27" i="43"/>
  <c r="AP27" i="43"/>
  <c r="AN27" i="43"/>
  <c r="AL27" i="43"/>
  <c r="AJ27" i="43"/>
  <c r="AH27" i="43"/>
  <c r="AF27" i="43"/>
  <c r="AD27" i="43"/>
  <c r="AB27" i="43"/>
  <c r="Z27" i="43"/>
  <c r="X27" i="43"/>
  <c r="P27" i="43"/>
  <c r="I27" i="43"/>
  <c r="AS27" i="43"/>
  <c r="AQ27" i="43"/>
  <c r="AO27" i="43"/>
  <c r="AM27" i="43"/>
  <c r="AK27" i="43"/>
  <c r="AI27" i="43"/>
  <c r="AG27" i="43"/>
  <c r="AE27" i="43"/>
  <c r="AC27" i="43"/>
  <c r="AA27" i="43"/>
  <c r="Y27" i="43"/>
  <c r="W27" i="43"/>
  <c r="U27" i="43"/>
  <c r="M27" i="43"/>
  <c r="F27" i="43"/>
  <c r="AR28" i="43"/>
  <c r="AP28" i="43"/>
  <c r="AN28" i="43"/>
  <c r="AL28" i="43"/>
  <c r="AJ28" i="43"/>
  <c r="AH28" i="43"/>
  <c r="AF28" i="43"/>
  <c r="AD28" i="43"/>
  <c r="AB28" i="43"/>
  <c r="Z28" i="43"/>
  <c r="X28" i="43"/>
  <c r="P28" i="43"/>
  <c r="I28" i="43"/>
  <c r="AS28" i="43"/>
  <c r="AQ28" i="43"/>
  <c r="AO28" i="43"/>
  <c r="AM28" i="43"/>
  <c r="AK28" i="43"/>
  <c r="AI28" i="43"/>
  <c r="AG28" i="43"/>
  <c r="AE28" i="43"/>
  <c r="AC28" i="43"/>
  <c r="AA28" i="43"/>
  <c r="Y28" i="43"/>
  <c r="W28" i="43"/>
  <c r="U28" i="43"/>
  <c r="M28" i="43"/>
  <c r="F28" i="43"/>
  <c r="AR29" i="43"/>
  <c r="AP29" i="43"/>
  <c r="AN29" i="43"/>
  <c r="AL29" i="43"/>
  <c r="AJ29" i="43"/>
  <c r="AH29" i="43"/>
  <c r="AF29" i="43"/>
  <c r="AD29" i="43"/>
  <c r="AB29" i="43"/>
  <c r="Z29" i="43"/>
  <c r="X29" i="43"/>
  <c r="P29" i="43"/>
  <c r="I29" i="43"/>
  <c r="AS29" i="43"/>
  <c r="AQ29" i="43"/>
  <c r="AO29" i="43"/>
  <c r="AM29" i="43"/>
  <c r="AK29" i="43"/>
  <c r="AI29" i="43"/>
  <c r="AG29" i="43"/>
  <c r="AE29" i="43"/>
  <c r="AC29" i="43"/>
  <c r="AA29" i="43"/>
  <c r="Y29" i="43"/>
  <c r="W29" i="43"/>
  <c r="U29" i="43"/>
  <c r="M29" i="43"/>
  <c r="F29" i="43"/>
  <c r="AR30" i="43"/>
  <c r="AP30" i="43"/>
  <c r="AN30" i="43"/>
  <c r="AL30" i="43"/>
  <c r="AJ30" i="43"/>
  <c r="AH30" i="43"/>
  <c r="AF30" i="43"/>
  <c r="AD30" i="43"/>
  <c r="AB30" i="43"/>
  <c r="Z30" i="43"/>
  <c r="X30" i="43"/>
  <c r="T30" i="43"/>
  <c r="R30" i="43"/>
  <c r="P30" i="43"/>
  <c r="N30" i="43"/>
  <c r="J30" i="43"/>
  <c r="I30" i="43"/>
  <c r="G30" i="43"/>
  <c r="AS30" i="43"/>
  <c r="AQ30" i="43"/>
  <c r="AO30" i="43"/>
  <c r="AM30" i="43"/>
  <c r="AK30" i="43"/>
  <c r="AI30" i="43"/>
  <c r="AG30" i="43"/>
  <c r="AE30" i="43"/>
  <c r="AC30" i="43"/>
  <c r="AA30" i="43"/>
  <c r="Y30" i="43"/>
  <c r="W30" i="43"/>
  <c r="U30" i="43"/>
  <c r="S30" i="43"/>
  <c r="Q30" i="43"/>
  <c r="O30" i="43"/>
  <c r="M30" i="43"/>
  <c r="H30" i="43"/>
  <c r="F30" i="43"/>
  <c r="AR31" i="43"/>
  <c r="AP31" i="43"/>
  <c r="AN31" i="43"/>
  <c r="AL31" i="43"/>
  <c r="AJ31" i="43"/>
  <c r="AH31" i="43"/>
  <c r="AF31" i="43"/>
  <c r="AD31" i="43"/>
  <c r="AB31" i="43"/>
  <c r="Z31" i="43"/>
  <c r="X31" i="43"/>
  <c r="T31" i="43"/>
  <c r="R31" i="43"/>
  <c r="P31" i="43"/>
  <c r="N31" i="43"/>
  <c r="J31" i="43"/>
  <c r="I31" i="43"/>
  <c r="G31" i="43"/>
  <c r="AS31" i="43"/>
  <c r="AQ31" i="43"/>
  <c r="AO31" i="43"/>
  <c r="AM31" i="43"/>
  <c r="AK31" i="43"/>
  <c r="AI31" i="43"/>
  <c r="AG31" i="43"/>
  <c r="AE31" i="43"/>
  <c r="AC31" i="43"/>
  <c r="AA31" i="43"/>
  <c r="Y31" i="43"/>
  <c r="W31" i="43"/>
  <c r="U31" i="43"/>
  <c r="S31" i="43"/>
  <c r="Q31" i="43"/>
  <c r="O31" i="43"/>
  <c r="M31" i="43"/>
  <c r="H31" i="43"/>
  <c r="F31" i="43"/>
  <c r="AR32" i="43"/>
  <c r="AP32" i="43"/>
  <c r="AN32" i="43"/>
  <c r="AL32" i="43"/>
  <c r="AJ32" i="43"/>
  <c r="AH32" i="43"/>
  <c r="AF32" i="43"/>
  <c r="AD32" i="43"/>
  <c r="AB32" i="43"/>
  <c r="Z32" i="43"/>
  <c r="X32" i="43"/>
  <c r="R32" i="43"/>
  <c r="P32" i="43"/>
  <c r="N32" i="43"/>
  <c r="J32" i="43"/>
  <c r="I32" i="43"/>
  <c r="G32" i="43"/>
  <c r="AS32" i="43"/>
  <c r="AQ32" i="43"/>
  <c r="AO32" i="43"/>
  <c r="AM32" i="43"/>
  <c r="AK32" i="43"/>
  <c r="AI32" i="43"/>
  <c r="AG32" i="43"/>
  <c r="AE32" i="43"/>
  <c r="AC32" i="43"/>
  <c r="AA32" i="43"/>
  <c r="Y32" i="43"/>
  <c r="W32" i="43"/>
  <c r="U32" i="43"/>
  <c r="Q32" i="43"/>
  <c r="O32" i="43"/>
  <c r="M32" i="43"/>
  <c r="H32" i="43"/>
  <c r="F32" i="43"/>
  <c r="AR33" i="43"/>
  <c r="AP33" i="43"/>
  <c r="AN33" i="43"/>
  <c r="AL33" i="43"/>
  <c r="AJ33" i="43"/>
  <c r="AH33" i="43"/>
  <c r="AF33" i="43"/>
  <c r="AD33" i="43"/>
  <c r="AB33" i="43"/>
  <c r="Z33" i="43"/>
  <c r="X33" i="43"/>
  <c r="R33" i="43"/>
  <c r="P33" i="43"/>
  <c r="N33" i="43"/>
  <c r="J33" i="43"/>
  <c r="I33" i="43"/>
  <c r="G33" i="43"/>
  <c r="AS33" i="43"/>
  <c r="AQ33" i="43"/>
  <c r="AO33" i="43"/>
  <c r="AM33" i="43"/>
  <c r="AK33" i="43"/>
  <c r="AI33" i="43"/>
  <c r="AG33" i="43"/>
  <c r="AE33" i="43"/>
  <c r="AC33" i="43"/>
  <c r="AA33" i="43"/>
  <c r="Y33" i="43"/>
  <c r="W33" i="43"/>
  <c r="U33" i="43"/>
  <c r="Q33" i="43"/>
  <c r="O33" i="43"/>
  <c r="M33" i="43"/>
  <c r="H33" i="43"/>
  <c r="F33" i="43"/>
  <c r="AR34" i="43"/>
  <c r="AP34" i="43"/>
  <c r="AN34" i="43"/>
  <c r="AL34" i="43"/>
  <c r="AJ34" i="43"/>
  <c r="AH34" i="43"/>
  <c r="AF34" i="43"/>
  <c r="AD34" i="43"/>
  <c r="AB34" i="43"/>
  <c r="Z34" i="43"/>
  <c r="X34" i="43"/>
  <c r="AS34" i="43"/>
  <c r="AQ34" i="43"/>
  <c r="AO34" i="43"/>
  <c r="AM34" i="43"/>
  <c r="AK34" i="43"/>
  <c r="AI34" i="43"/>
  <c r="AG34" i="43"/>
  <c r="AE34" i="43"/>
  <c r="AC34" i="43"/>
  <c r="AA34" i="43"/>
  <c r="Y34" i="43"/>
  <c r="W34" i="43"/>
  <c r="U34" i="43"/>
  <c r="S34" i="43"/>
  <c r="R34" i="43"/>
  <c r="P34" i="43"/>
  <c r="N34" i="43"/>
  <c r="J34" i="43"/>
  <c r="I34" i="43"/>
  <c r="G34" i="43"/>
  <c r="T34" i="43"/>
  <c r="Q34" i="43"/>
  <c r="O34" i="43"/>
  <c r="M34" i="43"/>
  <c r="H34" i="43"/>
  <c r="F34" i="43"/>
  <c r="B35" i="43"/>
  <c r="AR35" i="43"/>
  <c r="AP35" i="43"/>
  <c r="AN35" i="43"/>
  <c r="AL35" i="43"/>
  <c r="AJ35" i="43"/>
  <c r="AH35" i="43"/>
  <c r="AF35" i="43"/>
  <c r="AD35" i="43"/>
  <c r="AB35" i="43"/>
  <c r="Z35" i="43"/>
  <c r="X35" i="43"/>
  <c r="T35" i="43"/>
  <c r="R35" i="43"/>
  <c r="P35" i="43"/>
  <c r="N35" i="43"/>
  <c r="J35" i="43"/>
  <c r="I35" i="43"/>
  <c r="G35" i="43"/>
  <c r="AS35" i="43"/>
  <c r="AQ35" i="43"/>
  <c r="AO35" i="43"/>
  <c r="AM35" i="43"/>
  <c r="AK35" i="43"/>
  <c r="AI35" i="43"/>
  <c r="AG35" i="43"/>
  <c r="AE35" i="43"/>
  <c r="AC35" i="43"/>
  <c r="AA35" i="43"/>
  <c r="Y35" i="43"/>
  <c r="W35" i="43"/>
  <c r="U35" i="43"/>
  <c r="S35" i="43"/>
  <c r="Q35" i="43"/>
  <c r="O35" i="43"/>
  <c r="M35" i="43"/>
  <c r="H35" i="43"/>
  <c r="F35" i="43"/>
  <c r="B36" i="43"/>
  <c r="AR36" i="43"/>
  <c r="AP36" i="43"/>
  <c r="AN36" i="43"/>
  <c r="AL36" i="43"/>
  <c r="AJ36" i="43"/>
  <c r="AH36" i="43"/>
  <c r="AF36" i="43"/>
  <c r="AD36" i="43"/>
  <c r="AB36" i="43"/>
  <c r="Z36" i="43"/>
  <c r="X36" i="43"/>
  <c r="T36" i="43"/>
  <c r="R36" i="43"/>
  <c r="P36" i="43"/>
  <c r="N36" i="43"/>
  <c r="J36" i="43"/>
  <c r="I36" i="43"/>
  <c r="G36" i="43"/>
  <c r="AS36" i="43"/>
  <c r="AQ36" i="43"/>
  <c r="AO36" i="43"/>
  <c r="AM36" i="43"/>
  <c r="AK36" i="43"/>
  <c r="AI36" i="43"/>
  <c r="AG36" i="43"/>
  <c r="AE36" i="43"/>
  <c r="AC36" i="43"/>
  <c r="AA36" i="43"/>
  <c r="Y36" i="43"/>
  <c r="W36" i="43"/>
  <c r="U36" i="43"/>
  <c r="S36" i="43"/>
  <c r="Q36" i="43"/>
  <c r="O36" i="43"/>
  <c r="M36" i="43"/>
  <c r="H36" i="43"/>
  <c r="F36" i="43"/>
  <c r="B37" i="43"/>
  <c r="AR37" i="43"/>
  <c r="AP37" i="43"/>
  <c r="AN37" i="43"/>
  <c r="AL37" i="43"/>
  <c r="AJ37" i="43"/>
  <c r="AH37" i="43"/>
  <c r="AF37" i="43"/>
  <c r="AD37" i="43"/>
  <c r="AB37" i="43"/>
  <c r="Z37" i="43"/>
  <c r="X37" i="43"/>
  <c r="T37" i="43"/>
  <c r="R37" i="43"/>
  <c r="P37" i="43"/>
  <c r="N37" i="43"/>
  <c r="J37" i="43"/>
  <c r="I37" i="43"/>
  <c r="G37" i="43"/>
  <c r="AS37" i="43"/>
  <c r="AQ37" i="43"/>
  <c r="AO37" i="43"/>
  <c r="AM37" i="43"/>
  <c r="AK37" i="43"/>
  <c r="AI37" i="43"/>
  <c r="AG37" i="43"/>
  <c r="AE37" i="43"/>
  <c r="AC37" i="43"/>
  <c r="AA37" i="43"/>
  <c r="Y37" i="43"/>
  <c r="W37" i="43"/>
  <c r="U37" i="43"/>
  <c r="S37" i="43"/>
  <c r="Q37" i="43"/>
  <c r="O37" i="43"/>
  <c r="M37" i="43"/>
  <c r="H37" i="43"/>
  <c r="F37" i="43"/>
  <c r="B38" i="43"/>
  <c r="AR38" i="43"/>
  <c r="AP38" i="43"/>
  <c r="AN38" i="43"/>
  <c r="AL38" i="43"/>
  <c r="AJ38" i="43"/>
  <c r="AH38" i="43"/>
  <c r="AF38" i="43"/>
  <c r="AD38" i="43"/>
  <c r="AB38" i="43"/>
  <c r="Z38" i="43"/>
  <c r="X38" i="43"/>
  <c r="T38" i="43"/>
  <c r="R38" i="43"/>
  <c r="P38" i="43"/>
  <c r="N38" i="43"/>
  <c r="J38" i="43"/>
  <c r="I38" i="43"/>
  <c r="G38" i="43"/>
  <c r="AS38" i="43"/>
  <c r="AQ38" i="43"/>
  <c r="AO38" i="43"/>
  <c r="AM38" i="43"/>
  <c r="AK38" i="43"/>
  <c r="AI38" i="43"/>
  <c r="AG38" i="43"/>
  <c r="AE38" i="43"/>
  <c r="AC38" i="43"/>
  <c r="AA38" i="43"/>
  <c r="Y38" i="43"/>
  <c r="W38" i="43"/>
  <c r="U38" i="43"/>
  <c r="S38" i="43"/>
  <c r="Q38" i="43"/>
  <c r="O38" i="43"/>
  <c r="M38" i="43"/>
  <c r="H38" i="43"/>
  <c r="F38" i="43"/>
  <c r="B39" i="43"/>
  <c r="AR39" i="43"/>
  <c r="AP39" i="43"/>
  <c r="AN39" i="43"/>
  <c r="AL39" i="43"/>
  <c r="AJ39" i="43"/>
  <c r="AH39" i="43"/>
  <c r="AF39" i="43"/>
  <c r="AD39" i="43"/>
  <c r="AB39" i="43"/>
  <c r="Z39" i="43"/>
  <c r="X39" i="43"/>
  <c r="T39" i="43"/>
  <c r="R39" i="43"/>
  <c r="P39" i="43"/>
  <c r="N39" i="43"/>
  <c r="J39" i="43"/>
  <c r="I39" i="43"/>
  <c r="G39" i="43"/>
  <c r="AS39" i="43"/>
  <c r="AQ39" i="43"/>
  <c r="AO39" i="43"/>
  <c r="AM39" i="43"/>
  <c r="AK39" i="43"/>
  <c r="AI39" i="43"/>
  <c r="AG39" i="43"/>
  <c r="AE39" i="43"/>
  <c r="AC39" i="43"/>
  <c r="AA39" i="43"/>
  <c r="Y39" i="43"/>
  <c r="W39" i="43"/>
  <c r="U39" i="43"/>
  <c r="S39" i="43"/>
  <c r="Q39" i="43"/>
  <c r="O39" i="43"/>
  <c r="M39" i="43"/>
  <c r="H39" i="43"/>
  <c r="F39" i="43"/>
  <c r="B40" i="43"/>
  <c r="AR40" i="43"/>
  <c r="AP40" i="43"/>
  <c r="AN40" i="43"/>
  <c r="AL40" i="43"/>
  <c r="AJ40" i="43"/>
  <c r="AH40" i="43"/>
  <c r="AF40" i="43"/>
  <c r="AD40" i="43"/>
  <c r="AB40" i="43"/>
  <c r="Z40" i="43"/>
  <c r="X40" i="43"/>
  <c r="T40" i="43"/>
  <c r="R40" i="43"/>
  <c r="P40" i="43"/>
  <c r="N40" i="43"/>
  <c r="J40" i="43"/>
  <c r="I40" i="43"/>
  <c r="G40" i="43"/>
  <c r="AS40" i="43"/>
  <c r="AQ40" i="43"/>
  <c r="AO40" i="43"/>
  <c r="AM40" i="43"/>
  <c r="AK40" i="43"/>
  <c r="AI40" i="43"/>
  <c r="AG40" i="43"/>
  <c r="AE40" i="43"/>
  <c r="AC40" i="43"/>
  <c r="AA40" i="43"/>
  <c r="Y40" i="43"/>
  <c r="W40" i="43"/>
  <c r="U40" i="43"/>
  <c r="S40" i="43"/>
  <c r="Q40" i="43"/>
  <c r="O40" i="43"/>
  <c r="M40" i="43"/>
  <c r="H40" i="43"/>
  <c r="F40" i="43"/>
  <c r="B32" i="43"/>
  <c r="B33" i="43"/>
  <c r="B34" i="43"/>
  <c r="T65" i="12"/>
  <c r="T13" i="46" s="1"/>
  <c r="T32" i="46" s="1"/>
  <c r="T64" i="12"/>
  <c r="R49" i="12"/>
  <c r="T96" i="12"/>
  <c r="R96" i="12"/>
  <c r="H96" i="12"/>
  <c r="G96" i="12" s="1"/>
  <c r="T20" i="12"/>
  <c r="R20" i="12"/>
  <c r="O20" i="12"/>
  <c r="H20" i="12"/>
  <c r="G20" i="12" s="1"/>
  <c r="T19" i="12"/>
  <c r="R19" i="12"/>
  <c r="O19" i="12"/>
  <c r="H19" i="12"/>
  <c r="G19" i="12" s="1"/>
  <c r="T18" i="12"/>
  <c r="R18" i="12"/>
  <c r="O18" i="12"/>
  <c r="H18" i="12"/>
  <c r="G18" i="12" s="1"/>
  <c r="T17" i="12"/>
  <c r="R17" i="12"/>
  <c r="O17" i="12"/>
  <c r="H17" i="12"/>
  <c r="G17" i="12" s="1"/>
  <c r="T53" i="12"/>
  <c r="R53" i="12"/>
  <c r="O53" i="12"/>
  <c r="H53" i="12"/>
  <c r="G53" i="12" s="1"/>
  <c r="T52" i="12"/>
  <c r="R52" i="12"/>
  <c r="O52" i="12"/>
  <c r="H52" i="12"/>
  <c r="G52" i="12" s="1"/>
  <c r="T51" i="12"/>
  <c r="R51" i="12"/>
  <c r="O51" i="12"/>
  <c r="H51" i="12"/>
  <c r="G51" i="12" s="1"/>
  <c r="T50" i="12"/>
  <c r="R50" i="12"/>
  <c r="O50" i="12"/>
  <c r="H50" i="12"/>
  <c r="G50" i="12" s="1"/>
  <c r="T16" i="12"/>
  <c r="R16" i="12"/>
  <c r="O16" i="12"/>
  <c r="H16" i="12"/>
  <c r="G16" i="12" s="1"/>
  <c r="T15" i="12"/>
  <c r="R15" i="12"/>
  <c r="O15" i="12"/>
  <c r="H15" i="12"/>
  <c r="G15" i="12" s="1"/>
  <c r="T14" i="12"/>
  <c r="R14" i="12"/>
  <c r="O14" i="12"/>
  <c r="H14" i="12"/>
  <c r="T13" i="12"/>
  <c r="R13" i="12"/>
  <c r="O13" i="12"/>
  <c r="H13" i="12"/>
  <c r="G13" i="12" s="1"/>
  <c r="T11" i="12"/>
  <c r="R11" i="12"/>
  <c r="O11" i="12"/>
  <c r="H11" i="12"/>
  <c r="G11" i="12" s="1"/>
  <c r="T10" i="12"/>
  <c r="R10" i="12"/>
  <c r="O10" i="12"/>
  <c r="H10" i="12"/>
  <c r="T9" i="12"/>
  <c r="R9" i="12"/>
  <c r="O9" i="12"/>
  <c r="H9" i="12"/>
  <c r="G9" i="12" s="1"/>
  <c r="T8" i="12"/>
  <c r="R8" i="12"/>
  <c r="O8" i="12"/>
  <c r="H8" i="12"/>
  <c r="G8" i="12" s="1"/>
  <c r="T7" i="12"/>
  <c r="R7" i="12"/>
  <c r="O7" i="12"/>
  <c r="G7" i="12"/>
  <c r="R79" i="12"/>
  <c r="O79" i="12"/>
  <c r="H79" i="12"/>
  <c r="G79" i="12" s="1"/>
  <c r="R78" i="12"/>
  <c r="O78" i="12"/>
  <c r="H78" i="12"/>
  <c r="G78" i="12" s="1"/>
  <c r="R77" i="12"/>
  <c r="O77" i="12"/>
  <c r="H77" i="12"/>
  <c r="G77" i="12" s="1"/>
  <c r="R76" i="12"/>
  <c r="O76" i="12"/>
  <c r="H76" i="12"/>
  <c r="G76" i="12" s="1"/>
  <c r="R75" i="12"/>
  <c r="O75" i="12"/>
  <c r="H75" i="12"/>
  <c r="G75" i="12" s="1"/>
  <c r="T91" i="12"/>
  <c r="T8" i="54" s="1"/>
  <c r="T27" i="54" s="1"/>
  <c r="R91" i="12"/>
  <c r="R8" i="54" s="1"/>
  <c r="R27" i="54" s="1"/>
  <c r="O8" i="54"/>
  <c r="O27" i="54" s="1"/>
  <c r="J8" i="54"/>
  <c r="J27" i="54" s="1"/>
  <c r="H91" i="12"/>
  <c r="T72" i="12"/>
  <c r="R72" i="12"/>
  <c r="O72" i="12"/>
  <c r="H72" i="12"/>
  <c r="G72" i="12" s="1"/>
  <c r="T74" i="12"/>
  <c r="R74" i="12"/>
  <c r="O74" i="12"/>
  <c r="H74" i="12"/>
  <c r="T73" i="12"/>
  <c r="R73" i="12"/>
  <c r="O73" i="12"/>
  <c r="H73" i="12"/>
  <c r="T81" i="12"/>
  <c r="R81" i="12"/>
  <c r="O81" i="12"/>
  <c r="H81" i="12"/>
  <c r="G81" i="12" s="1"/>
  <c r="T92" i="12"/>
  <c r="R92" i="12"/>
  <c r="H92" i="12"/>
  <c r="G92" i="12" s="1"/>
  <c r="T95" i="12"/>
  <c r="R95" i="12"/>
  <c r="H95" i="12"/>
  <c r="G95" i="12" s="1"/>
  <c r="T71" i="12"/>
  <c r="R71" i="12"/>
  <c r="O71" i="12"/>
  <c r="H71" i="12"/>
  <c r="G71" i="12" s="1"/>
  <c r="T70" i="12"/>
  <c r="R70" i="12"/>
  <c r="O70" i="12"/>
  <c r="H70" i="12"/>
  <c r="G70" i="12" s="1"/>
  <c r="T69" i="12"/>
  <c r="R69" i="12"/>
  <c r="O69" i="12"/>
  <c r="H69" i="12"/>
  <c r="G69" i="12" s="1"/>
  <c r="T6" i="12"/>
  <c r="R6" i="12"/>
  <c r="O6" i="12"/>
  <c r="H6" i="12"/>
  <c r="G6" i="12" s="1"/>
  <c r="T68" i="12"/>
  <c r="R68" i="12"/>
  <c r="O68" i="12"/>
  <c r="H68" i="12"/>
  <c r="G68" i="12" s="1"/>
  <c r="T67" i="12"/>
  <c r="R67" i="12"/>
  <c r="O67" i="12"/>
  <c r="H67" i="12"/>
  <c r="T5" i="12"/>
  <c r="R5" i="12"/>
  <c r="O5" i="12"/>
  <c r="H5" i="12"/>
  <c r="G5" i="12" s="1"/>
  <c r="T87" i="12"/>
  <c r="R87" i="12"/>
  <c r="H87" i="12"/>
  <c r="G87" i="12" s="1"/>
  <c r="T88" i="12"/>
  <c r="R88" i="12"/>
  <c r="O88" i="12"/>
  <c r="H88" i="12"/>
  <c r="R48" i="12"/>
  <c r="O48" i="12"/>
  <c r="R47" i="12"/>
  <c r="O47" i="12"/>
  <c r="T4" i="12"/>
  <c r="R4" i="12"/>
  <c r="O4" i="12"/>
  <c r="H4" i="12"/>
  <c r="G4" i="12" s="1"/>
  <c r="T3" i="12"/>
  <c r="R3" i="12"/>
  <c r="O3" i="12"/>
  <c r="H3" i="12"/>
  <c r="G3" i="12" s="1"/>
  <c r="T94" i="12"/>
  <c r="R94" i="12"/>
  <c r="H94" i="12"/>
  <c r="G94" i="12" s="1"/>
  <c r="T93" i="12"/>
  <c r="R93" i="12"/>
  <c r="H93" i="12"/>
  <c r="T90" i="12"/>
  <c r="R90" i="12"/>
  <c r="H90" i="12"/>
  <c r="T89" i="12"/>
  <c r="R89" i="12"/>
  <c r="O89" i="12"/>
  <c r="H89" i="12"/>
  <c r="G89" i="12" s="1"/>
  <c r="T42" i="12"/>
  <c r="R42" i="12"/>
  <c r="O42" i="12"/>
  <c r="H42" i="12"/>
  <c r="G42" i="12" s="1"/>
  <c r="T40" i="12"/>
  <c r="R40" i="12"/>
  <c r="H40" i="12"/>
  <c r="G40" i="12" s="1"/>
  <c r="T39" i="12"/>
  <c r="R39" i="12"/>
  <c r="O39" i="12"/>
  <c r="H39" i="12"/>
  <c r="G39" i="12" s="1"/>
  <c r="T38" i="12"/>
  <c r="R38" i="12"/>
  <c r="O38" i="12"/>
  <c r="H38" i="12"/>
  <c r="G38" i="12" s="1"/>
  <c r="T37" i="12"/>
  <c r="O37" i="12"/>
  <c r="G37" i="12"/>
  <c r="T23" i="12"/>
  <c r="R23" i="12"/>
  <c r="O23" i="12"/>
  <c r="H23" i="12"/>
  <c r="G23" i="12" s="1"/>
  <c r="T22" i="12"/>
  <c r="R22" i="12"/>
  <c r="O22" i="12"/>
  <c r="H22" i="12"/>
  <c r="G22" i="12" s="1"/>
  <c r="T28" i="12"/>
  <c r="R28" i="12"/>
  <c r="O28" i="12"/>
  <c r="H28" i="12"/>
  <c r="G28" i="12" s="1"/>
  <c r="T27" i="12"/>
  <c r="R27" i="12"/>
  <c r="O27" i="12"/>
  <c r="H27" i="12"/>
  <c r="G27" i="12" s="1"/>
  <c r="T26" i="12"/>
  <c r="R26" i="12"/>
  <c r="O26" i="12"/>
  <c r="H26" i="12"/>
  <c r="G26" i="12" s="1"/>
  <c r="T45" i="12"/>
  <c r="R45" i="12"/>
  <c r="O45" i="12"/>
  <c r="H45" i="12"/>
  <c r="T44" i="12"/>
  <c r="R44" i="12"/>
  <c r="O44" i="12"/>
  <c r="H44" i="12"/>
  <c r="T43" i="12"/>
  <c r="R43" i="12"/>
  <c r="O43" i="12"/>
  <c r="H43" i="12"/>
  <c r="G43" i="12" s="1"/>
  <c r="T36" i="12"/>
  <c r="T7" i="44" s="1"/>
  <c r="R36" i="12"/>
  <c r="R7" i="44" s="1"/>
  <c r="O36" i="12"/>
  <c r="O7" i="44" s="1"/>
  <c r="M7" i="44"/>
  <c r="M26" i="44" s="1"/>
  <c r="G36" i="12"/>
  <c r="T35" i="12"/>
  <c r="T6" i="62" s="1"/>
  <c r="T25" i="62" s="1"/>
  <c r="R35" i="12"/>
  <c r="R6" i="62" s="1"/>
  <c r="R25" i="62" s="1"/>
  <c r="O35" i="12"/>
  <c r="O6" i="62" s="1"/>
  <c r="O25" i="62" s="1"/>
  <c r="J6" i="62"/>
  <c r="J25" i="62" s="1"/>
  <c r="H35" i="12"/>
  <c r="H6" i="62" s="1"/>
  <c r="H25" i="62" s="1"/>
  <c r="T34" i="12"/>
  <c r="R34" i="12"/>
  <c r="O34" i="12"/>
  <c r="H34" i="12"/>
  <c r="G34" i="12" s="1"/>
  <c r="T32" i="12"/>
  <c r="R32" i="12"/>
  <c r="O32" i="12"/>
  <c r="H32" i="12"/>
  <c r="G32" i="12" s="1"/>
  <c r="T31" i="12"/>
  <c r="R31" i="12"/>
  <c r="O31" i="12"/>
  <c r="G31" i="12"/>
  <c r="T30" i="12"/>
  <c r="R30" i="12"/>
  <c r="O30" i="12"/>
  <c r="H30" i="12"/>
  <c r="G30" i="12" s="1"/>
  <c r="T29" i="12"/>
  <c r="R29" i="12"/>
  <c r="O29" i="12"/>
  <c r="H29" i="12"/>
  <c r="O25" i="12"/>
  <c r="G25" i="12"/>
  <c r="T66" i="12"/>
  <c r="T58" i="12"/>
  <c r="T82" i="12"/>
  <c r="T84" i="12"/>
  <c r="T86" i="12"/>
  <c r="T85" i="12"/>
  <c r="T54" i="12"/>
  <c r="T16" i="46" s="1"/>
  <c r="T35" i="46" s="1"/>
  <c r="T55" i="12"/>
  <c r="T56" i="12"/>
  <c r="T59" i="12"/>
  <c r="G29" i="12" l="1"/>
  <c r="T6" i="44"/>
  <c r="T25" i="44" s="1"/>
  <c r="R14" i="62"/>
  <c r="R33" i="62" s="1"/>
  <c r="T16" i="62"/>
  <c r="T35" i="62" s="1"/>
  <c r="T14" i="62"/>
  <c r="T33" i="62" s="1"/>
  <c r="O10" i="62"/>
  <c r="O29" i="62" s="1"/>
  <c r="G90" i="12"/>
  <c r="O14" i="62"/>
  <c r="O33" i="62" s="1"/>
  <c r="J8" i="62"/>
  <c r="J27" i="62" s="1"/>
  <c r="J13" i="62"/>
  <c r="J32" i="62" s="1"/>
  <c r="O8" i="62"/>
  <c r="O27" i="62" s="1"/>
  <c r="O13" i="62"/>
  <c r="O32" i="62" s="1"/>
  <c r="R12" i="62"/>
  <c r="R31" i="62" s="1"/>
  <c r="R11" i="62"/>
  <c r="R30" i="62" s="1"/>
  <c r="R8" i="62"/>
  <c r="R27" i="62" s="1"/>
  <c r="R13" i="62"/>
  <c r="R32" i="62" s="1"/>
  <c r="H12" i="62"/>
  <c r="H31" i="62" s="1"/>
  <c r="H11" i="62"/>
  <c r="H30" i="62" s="1"/>
  <c r="H8" i="62"/>
  <c r="H27" i="62" s="1"/>
  <c r="H13" i="62"/>
  <c r="H32" i="62" s="1"/>
  <c r="T12" i="62"/>
  <c r="T31" i="62" s="1"/>
  <c r="T11" i="62"/>
  <c r="T30" i="62" s="1"/>
  <c r="T8" i="62"/>
  <c r="T27" i="62" s="1"/>
  <c r="T13" i="62"/>
  <c r="T32" i="62" s="1"/>
  <c r="J12" i="62"/>
  <c r="J31" i="62" s="1"/>
  <c r="J11" i="62"/>
  <c r="J30" i="62" s="1"/>
  <c r="O12" i="62"/>
  <c r="O31" i="62" s="1"/>
  <c r="O11" i="62"/>
  <c r="O30" i="62" s="1"/>
  <c r="G74" i="12"/>
  <c r="H14" i="62"/>
  <c r="H33" i="62" s="1"/>
  <c r="G10" i="12"/>
  <c r="H7" i="62"/>
  <c r="H26" i="62" s="1"/>
  <c r="J7" i="62"/>
  <c r="J26" i="62" s="1"/>
  <c r="H10" i="62"/>
  <c r="H29" i="62" s="1"/>
  <c r="R7" i="62"/>
  <c r="R26" i="62" s="1"/>
  <c r="O7" i="62"/>
  <c r="O26" i="62" s="1"/>
  <c r="J10" i="62"/>
  <c r="J29" i="62" s="1"/>
  <c r="T7" i="62"/>
  <c r="T26" i="62" s="1"/>
  <c r="R10" i="62"/>
  <c r="R29" i="62" s="1"/>
  <c r="T10" i="62"/>
  <c r="T29" i="62" s="1"/>
  <c r="H6" i="46"/>
  <c r="H25" i="46" s="1"/>
  <c r="G45" i="12"/>
  <c r="O8" i="46"/>
  <c r="O27" i="46" s="1"/>
  <c r="T8" i="53"/>
  <c r="T27" i="53" s="1"/>
  <c r="O8" i="53"/>
  <c r="O27" i="53" s="1"/>
  <c r="R8" i="53"/>
  <c r="R27" i="53" s="1"/>
  <c r="H8" i="53"/>
  <c r="H27" i="53" s="1"/>
  <c r="J8" i="53"/>
  <c r="J27" i="53" s="1"/>
  <c r="G35" i="12"/>
  <c r="G6" i="62" s="1"/>
  <c r="G25" i="62" s="1"/>
  <c r="G6" i="54"/>
  <c r="G25" i="54" s="1"/>
  <c r="G7" i="53"/>
  <c r="G26" i="53" s="1"/>
  <c r="T6" i="54"/>
  <c r="T25" i="54" s="1"/>
  <c r="T7" i="53"/>
  <c r="T26" i="53" s="1"/>
  <c r="J6" i="54"/>
  <c r="J25" i="54" s="1"/>
  <c r="J7" i="53"/>
  <c r="J26" i="53" s="1"/>
  <c r="O6" i="54"/>
  <c r="O25" i="54" s="1"/>
  <c r="O7" i="53"/>
  <c r="O26" i="53" s="1"/>
  <c r="H6" i="54"/>
  <c r="H25" i="54" s="1"/>
  <c r="H7" i="53"/>
  <c r="H26" i="53" s="1"/>
  <c r="R6" i="54"/>
  <c r="R25" i="54" s="1"/>
  <c r="R7" i="53"/>
  <c r="R26" i="53" s="1"/>
  <c r="J7" i="54"/>
  <c r="J26" i="54" s="1"/>
  <c r="G91" i="12"/>
  <c r="G8" i="54" s="1"/>
  <c r="G27" i="54" s="1"/>
  <c r="H8" i="54"/>
  <c r="H27" i="54" s="1"/>
  <c r="O7" i="54"/>
  <c r="O26" i="54" s="1"/>
  <c r="R7" i="54"/>
  <c r="R26" i="54" s="1"/>
  <c r="H7" i="54"/>
  <c r="H26" i="54" s="1"/>
  <c r="T7" i="54"/>
  <c r="T26" i="54" s="1"/>
  <c r="O9" i="46"/>
  <c r="O28" i="46" s="1"/>
  <c r="R10" i="46"/>
  <c r="R29" i="46" s="1"/>
  <c r="T8" i="46"/>
  <c r="T27" i="46" s="1"/>
  <c r="T9" i="46"/>
  <c r="T28" i="46" s="1"/>
  <c r="J10" i="46"/>
  <c r="J29" i="46" s="1"/>
  <c r="G72" i="43"/>
  <c r="G73" i="43"/>
  <c r="R8" i="46"/>
  <c r="R27" i="46" s="1"/>
  <c r="R9" i="46"/>
  <c r="R28" i="46" s="1"/>
  <c r="T10" i="46"/>
  <c r="T29" i="46" s="1"/>
  <c r="J8" i="46"/>
  <c r="J27" i="46" s="1"/>
  <c r="T12" i="46"/>
  <c r="T31" i="46" s="1"/>
  <c r="J9" i="46"/>
  <c r="J28" i="46" s="1"/>
  <c r="O10" i="46"/>
  <c r="O29" i="46" s="1"/>
  <c r="M6" i="44"/>
  <c r="M25" i="44" s="1"/>
  <c r="M42" i="44" s="1"/>
  <c r="I48" i="44" s="1"/>
  <c r="J12" i="46"/>
  <c r="J31" i="46" s="1"/>
  <c r="O7" i="46"/>
  <c r="O26" i="46" s="1"/>
  <c r="O7" i="43"/>
  <c r="O26" i="43" s="1"/>
  <c r="O12" i="46"/>
  <c r="O31" i="46" s="1"/>
  <c r="T15" i="46"/>
  <c r="T34" i="46" s="1"/>
  <c r="T14" i="46"/>
  <c r="T33" i="46" s="1"/>
  <c r="R6" i="44"/>
  <c r="R25" i="44" s="1"/>
  <c r="G44" i="12"/>
  <c r="H7" i="46"/>
  <c r="H26" i="46" s="1"/>
  <c r="R7" i="46"/>
  <c r="R26" i="46" s="1"/>
  <c r="R7" i="43"/>
  <c r="R26" i="43" s="1"/>
  <c r="J6" i="46"/>
  <c r="J25" i="46" s="1"/>
  <c r="J6" i="43"/>
  <c r="J25" i="43" s="1"/>
  <c r="T6" i="46"/>
  <c r="T25" i="46" s="1"/>
  <c r="T6" i="43"/>
  <c r="T25" i="43" s="1"/>
  <c r="R11" i="46"/>
  <c r="R30" i="46" s="1"/>
  <c r="R12" i="46"/>
  <c r="R31" i="46" s="1"/>
  <c r="H9" i="46"/>
  <c r="H28" i="46" s="1"/>
  <c r="M7" i="46"/>
  <c r="M26" i="46" s="1"/>
  <c r="M7" i="43"/>
  <c r="M26" i="43" s="1"/>
  <c r="P6" i="46"/>
  <c r="P25" i="46" s="1"/>
  <c r="P42" i="46" s="1"/>
  <c r="P43" i="46" s="1"/>
  <c r="P6" i="43"/>
  <c r="P25" i="43" s="1"/>
  <c r="P42" i="43" s="1"/>
  <c r="P43" i="43" s="1"/>
  <c r="J11" i="46"/>
  <c r="J30" i="46" s="1"/>
  <c r="T17" i="46"/>
  <c r="T36" i="46" s="1"/>
  <c r="T11" i="44"/>
  <c r="T30" i="44" s="1"/>
  <c r="O6" i="44"/>
  <c r="R6" i="46"/>
  <c r="R25" i="46" s="1"/>
  <c r="R6" i="43"/>
  <c r="R25" i="43" s="1"/>
  <c r="O11" i="46"/>
  <c r="O30" i="46" s="1"/>
  <c r="G14" i="12"/>
  <c r="H10" i="46"/>
  <c r="H29" i="46" s="1"/>
  <c r="T18" i="46"/>
  <c r="T37" i="46" s="1"/>
  <c r="J7" i="44"/>
  <c r="J26" i="44" s="1"/>
  <c r="J7" i="46"/>
  <c r="J26" i="46" s="1"/>
  <c r="J7" i="43"/>
  <c r="J26" i="43" s="1"/>
  <c r="T7" i="46"/>
  <c r="T26" i="46" s="1"/>
  <c r="T7" i="43"/>
  <c r="T26" i="43" s="1"/>
  <c r="M6" i="46"/>
  <c r="M25" i="46" s="1"/>
  <c r="M6" i="43"/>
  <c r="M25" i="43" s="1"/>
  <c r="H11" i="46"/>
  <c r="H30" i="46" s="1"/>
  <c r="T11" i="46"/>
  <c r="T30" i="46" s="1"/>
  <c r="H8" i="46"/>
  <c r="H27" i="46" s="1"/>
  <c r="H12" i="46"/>
  <c r="H31" i="46" s="1"/>
  <c r="T13" i="44"/>
  <c r="T32" i="44" s="1"/>
  <c r="T13" i="43"/>
  <c r="T32" i="43" s="1"/>
  <c r="R9" i="44"/>
  <c r="R28" i="44" s="1"/>
  <c r="R9" i="43"/>
  <c r="R28" i="43" s="1"/>
  <c r="T10" i="43"/>
  <c r="T29" i="43" s="1"/>
  <c r="T10" i="44"/>
  <c r="T29" i="44" s="1"/>
  <c r="J8" i="44"/>
  <c r="J27" i="44" s="1"/>
  <c r="J8" i="43"/>
  <c r="J27" i="43" s="1"/>
  <c r="T9" i="43"/>
  <c r="T28" i="43" s="1"/>
  <c r="T9" i="44"/>
  <c r="T28" i="44" s="1"/>
  <c r="O8" i="43"/>
  <c r="O27" i="43" s="1"/>
  <c r="O8" i="44"/>
  <c r="O27" i="44" s="1"/>
  <c r="J10" i="44"/>
  <c r="J29" i="44" s="1"/>
  <c r="J10" i="43"/>
  <c r="J29" i="43" s="1"/>
  <c r="T14" i="43"/>
  <c r="T33" i="43" s="1"/>
  <c r="T14" i="44"/>
  <c r="T33" i="44" s="1"/>
  <c r="J9" i="44"/>
  <c r="J28" i="44" s="1"/>
  <c r="J9" i="43"/>
  <c r="J28" i="43" s="1"/>
  <c r="O10" i="43"/>
  <c r="O29" i="43" s="1"/>
  <c r="O10" i="44"/>
  <c r="O29" i="44" s="1"/>
  <c r="R8" i="44"/>
  <c r="R27" i="44" s="1"/>
  <c r="R8" i="43"/>
  <c r="R27" i="43" s="1"/>
  <c r="O9" i="43"/>
  <c r="O28" i="43" s="1"/>
  <c r="O9" i="44"/>
  <c r="O28" i="44" s="1"/>
  <c r="R10" i="44"/>
  <c r="R29" i="44" s="1"/>
  <c r="R10" i="43"/>
  <c r="R29" i="43" s="1"/>
  <c r="T8" i="43"/>
  <c r="T27" i="43" s="1"/>
  <c r="T8" i="44"/>
  <c r="T27" i="44" s="1"/>
  <c r="I49" i="43"/>
  <c r="S32" i="44"/>
  <c r="S32" i="43"/>
  <c r="N28" i="44"/>
  <c r="N28" i="43"/>
  <c r="Q29" i="44"/>
  <c r="Q29" i="43"/>
  <c r="Q27" i="44"/>
  <c r="Q27" i="43"/>
  <c r="Q28" i="44"/>
  <c r="Q28" i="43"/>
  <c r="S29" i="44"/>
  <c r="S29" i="43"/>
  <c r="S27" i="44"/>
  <c r="S27" i="43"/>
  <c r="S33" i="44"/>
  <c r="S33" i="43"/>
  <c r="S28" i="44"/>
  <c r="S28" i="43"/>
  <c r="N29" i="44"/>
  <c r="N29" i="43"/>
  <c r="N27" i="44"/>
  <c r="N27" i="43"/>
  <c r="L2" i="43"/>
  <c r="L1" i="43"/>
  <c r="G88" i="12"/>
  <c r="G67" i="12"/>
  <c r="G7" i="43"/>
  <c r="G26" i="43" s="1"/>
  <c r="H6" i="44"/>
  <c r="H25" i="44" s="1"/>
  <c r="H6" i="43"/>
  <c r="H25" i="43" s="1"/>
  <c r="J25" i="44"/>
  <c r="O40" i="12"/>
  <c r="P25" i="44"/>
  <c r="P42" i="44" s="1"/>
  <c r="P43" i="44" s="1"/>
  <c r="H10" i="44"/>
  <c r="H29" i="44" s="1"/>
  <c r="H10" i="43"/>
  <c r="H29" i="43" s="1"/>
  <c r="G73" i="12"/>
  <c r="H9" i="44"/>
  <c r="H28" i="44" s="1"/>
  <c r="H9" i="43"/>
  <c r="H28" i="43" s="1"/>
  <c r="O26" i="44"/>
  <c r="T26" i="44"/>
  <c r="G6" i="44"/>
  <c r="G25" i="44" s="1"/>
  <c r="G6" i="43"/>
  <c r="G25" i="43" s="1"/>
  <c r="G93" i="12"/>
  <c r="H8" i="44"/>
  <c r="H27" i="44" s="1"/>
  <c r="H8" i="43"/>
  <c r="H27" i="43" s="1"/>
  <c r="H7" i="44"/>
  <c r="H26" i="44" s="1"/>
  <c r="H7" i="43"/>
  <c r="H26" i="43" s="1"/>
  <c r="R26" i="44"/>
  <c r="D31" i="43"/>
  <c r="V31" i="43"/>
  <c r="D37" i="43"/>
  <c r="V27" i="43"/>
  <c r="V37" i="43"/>
  <c r="D39" i="43"/>
  <c r="V39" i="43"/>
  <c r="D35" i="43"/>
  <c r="V35" i="43"/>
  <c r="V34" i="43"/>
  <c r="D33" i="43"/>
  <c r="V33" i="43"/>
  <c r="D29" i="43"/>
  <c r="V29" i="43"/>
  <c r="D26" i="43"/>
  <c r="V25" i="43"/>
  <c r="V26" i="43"/>
  <c r="V40" i="43"/>
  <c r="V38" i="43"/>
  <c r="V36" i="43"/>
  <c r="D40" i="43"/>
  <c r="D38" i="43"/>
  <c r="D36" i="43"/>
  <c r="V32" i="43"/>
  <c r="V30" i="43"/>
  <c r="V28" i="43"/>
  <c r="D34" i="43"/>
  <c r="D32" i="43"/>
  <c r="D30" i="43"/>
  <c r="D28" i="43"/>
  <c r="D27" i="43"/>
  <c r="D25" i="43"/>
  <c r="F42" i="43"/>
  <c r="F43" i="43" s="1"/>
  <c r="W42" i="43"/>
  <c r="W43" i="43" s="1"/>
  <c r="AA42" i="43"/>
  <c r="AA43" i="43" s="1"/>
  <c r="AE42" i="43"/>
  <c r="AE43" i="43" s="1"/>
  <c r="AI42" i="43"/>
  <c r="AI43" i="43" s="1"/>
  <c r="AM42" i="43"/>
  <c r="AM43" i="43" s="1"/>
  <c r="AQ42" i="43"/>
  <c r="Z42" i="43"/>
  <c r="Z43" i="43" s="1"/>
  <c r="AD42" i="43"/>
  <c r="AD43" i="43" s="1"/>
  <c r="AH42" i="43"/>
  <c r="AH43" i="43" s="1"/>
  <c r="AL42" i="43"/>
  <c r="AL43" i="43" s="1"/>
  <c r="AP42" i="43"/>
  <c r="K42" i="43"/>
  <c r="K43" i="43" s="1"/>
  <c r="U42" i="43"/>
  <c r="U43" i="43" s="1"/>
  <c r="Y42" i="43"/>
  <c r="Y43" i="43" s="1"/>
  <c r="AC42" i="43"/>
  <c r="AC43" i="43" s="1"/>
  <c r="AG42" i="43"/>
  <c r="AG43" i="43" s="1"/>
  <c r="AK42" i="43"/>
  <c r="AK43" i="43" s="1"/>
  <c r="AO42" i="43"/>
  <c r="AO43" i="43" s="1"/>
  <c r="AS42" i="43"/>
  <c r="AS43" i="43" s="1"/>
  <c r="I42" i="43"/>
  <c r="I43" i="43" s="1"/>
  <c r="X42" i="43"/>
  <c r="AB42" i="43"/>
  <c r="AB43" i="43" s="1"/>
  <c r="AF42" i="43"/>
  <c r="AF43" i="43" s="1"/>
  <c r="AJ42" i="43"/>
  <c r="AJ43" i="43" s="1"/>
  <c r="AN42" i="43"/>
  <c r="AN43" i="43" s="1"/>
  <c r="AR42" i="43"/>
  <c r="AR43" i="43" s="1"/>
  <c r="L42" i="43"/>
  <c r="L43" i="43" s="1"/>
  <c r="G14" i="62" l="1"/>
  <c r="G33" i="62" s="1"/>
  <c r="O42" i="62"/>
  <c r="O43" i="62" s="1"/>
  <c r="G8" i="62"/>
  <c r="G27" i="62" s="1"/>
  <c r="G13" i="62"/>
  <c r="G32" i="62" s="1"/>
  <c r="G12" i="62"/>
  <c r="G31" i="62" s="1"/>
  <c r="G11" i="62"/>
  <c r="G30" i="62" s="1"/>
  <c r="J42" i="62"/>
  <c r="J43" i="62" s="1"/>
  <c r="T42" i="62"/>
  <c r="T43" i="62" s="1"/>
  <c r="R42" i="62"/>
  <c r="R43" i="62" s="1"/>
  <c r="H42" i="62"/>
  <c r="H43" i="62" s="1"/>
  <c r="G10" i="62"/>
  <c r="G29" i="62" s="1"/>
  <c r="G7" i="62"/>
  <c r="G26" i="62" s="1"/>
  <c r="T42" i="53"/>
  <c r="T43" i="53" s="1"/>
  <c r="G9" i="46"/>
  <c r="G28" i="46" s="1"/>
  <c r="O42" i="53"/>
  <c r="O43" i="53" s="1"/>
  <c r="H42" i="53"/>
  <c r="H43" i="53" s="1"/>
  <c r="J42" i="53"/>
  <c r="J43" i="53" s="1"/>
  <c r="R42" i="53"/>
  <c r="R43" i="53" s="1"/>
  <c r="G8" i="53"/>
  <c r="G27" i="53" s="1"/>
  <c r="G42" i="53" s="1"/>
  <c r="G43" i="53" s="1"/>
  <c r="T42" i="54"/>
  <c r="T43" i="54" s="1"/>
  <c r="O42" i="54"/>
  <c r="O43" i="54" s="1"/>
  <c r="R42" i="54"/>
  <c r="R43" i="54" s="1"/>
  <c r="J42" i="54"/>
  <c r="J43" i="54" s="1"/>
  <c r="H42" i="54"/>
  <c r="H43" i="54" s="1"/>
  <c r="AX43" i="54"/>
  <c r="G7" i="44"/>
  <c r="G26" i="44" s="1"/>
  <c r="G7" i="54"/>
  <c r="G26" i="54" s="1"/>
  <c r="G42" i="54" s="1"/>
  <c r="G43" i="54" s="1"/>
  <c r="I53" i="43"/>
  <c r="AX43" i="46"/>
  <c r="G74" i="43"/>
  <c r="M42" i="46"/>
  <c r="M43" i="46" s="1"/>
  <c r="G8" i="46"/>
  <c r="G27" i="46" s="1"/>
  <c r="G10" i="46"/>
  <c r="G29" i="46" s="1"/>
  <c r="M42" i="43"/>
  <c r="I48" i="43" s="1"/>
  <c r="H42" i="46"/>
  <c r="H43" i="46" s="1"/>
  <c r="R42" i="46"/>
  <c r="R43" i="46" s="1"/>
  <c r="T42" i="46"/>
  <c r="T43" i="46" s="1"/>
  <c r="J42" i="46"/>
  <c r="J43" i="46" s="1"/>
  <c r="G12" i="46"/>
  <c r="G31" i="46" s="1"/>
  <c r="G6" i="46"/>
  <c r="G25" i="46" s="1"/>
  <c r="O6" i="46"/>
  <c r="O25" i="46" s="1"/>
  <c r="O42" i="46" s="1"/>
  <c r="O43" i="46" s="1"/>
  <c r="O6" i="43"/>
  <c r="O25" i="43" s="1"/>
  <c r="O42" i="43" s="1"/>
  <c r="O43" i="43" s="1"/>
  <c r="G11" i="46"/>
  <c r="G30" i="46" s="1"/>
  <c r="G7" i="46"/>
  <c r="G26" i="46" s="1"/>
  <c r="N42" i="44"/>
  <c r="N43" i="44" s="1"/>
  <c r="G10" i="44"/>
  <c r="G29" i="44" s="1"/>
  <c r="G10" i="43"/>
  <c r="G29" i="43" s="1"/>
  <c r="Q42" i="44"/>
  <c r="Q43" i="44" s="1"/>
  <c r="I51" i="43"/>
  <c r="S42" i="44"/>
  <c r="S43" i="44" s="1"/>
  <c r="I52" i="43"/>
  <c r="N42" i="43"/>
  <c r="N43" i="43" s="1"/>
  <c r="Q42" i="43"/>
  <c r="Q43" i="43" s="1"/>
  <c r="S42" i="43"/>
  <c r="S43" i="43" s="1"/>
  <c r="AQ43" i="43"/>
  <c r="AP43" i="43"/>
  <c r="J42" i="43"/>
  <c r="J43" i="43" s="1"/>
  <c r="H42" i="43"/>
  <c r="H43" i="43" s="1"/>
  <c r="T42" i="43"/>
  <c r="T43" i="43" s="1"/>
  <c r="R42" i="43"/>
  <c r="R43" i="43" s="1"/>
  <c r="G8" i="44"/>
  <c r="G27" i="44" s="1"/>
  <c r="G8" i="43"/>
  <c r="G27" i="43" s="1"/>
  <c r="M43" i="44"/>
  <c r="O25" i="44"/>
  <c r="O42" i="44" s="1"/>
  <c r="O43" i="44" s="1"/>
  <c r="R42" i="44"/>
  <c r="R43" i="44" s="1"/>
  <c r="J42" i="44"/>
  <c r="J43" i="44" s="1"/>
  <c r="G9" i="44"/>
  <c r="G28" i="44" s="1"/>
  <c r="G9" i="43"/>
  <c r="G28" i="43" s="1"/>
  <c r="T42" i="44"/>
  <c r="T43" i="44" s="1"/>
  <c r="H42" i="44"/>
  <c r="H43" i="44" s="1"/>
  <c r="D42" i="43"/>
  <c r="V42" i="43"/>
  <c r="V43" i="43" s="1"/>
  <c r="I50" i="43" s="1"/>
  <c r="I54" i="43"/>
  <c r="X43" i="43"/>
  <c r="G42" i="62" l="1"/>
  <c r="G43" i="62" s="1"/>
  <c r="M43" i="43"/>
  <c r="G42" i="46"/>
  <c r="G42" i="44"/>
  <c r="G43" i="44" s="1"/>
  <c r="G42" i="43"/>
  <c r="G43" i="43" s="1"/>
  <c r="G43" i="4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Ricardo Melo</author>
  </authors>
  <commentList>
    <comment ref="D3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4" authorId="0" shapeId="0" xr:uid="{35B6D2EC-41C8-41C6-921F-E8E8B54A5EB7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5" authorId="0" shapeId="0" xr:uid="{5176896B-BB9E-44DD-B0AA-68B3E6BF9F84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6" authorId="0" shapeId="0" xr:uid="{485F2F49-3C6E-4D53-B6DB-B5338A712126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7" authorId="0" shapeId="0" xr:uid="{A00DCC72-BA58-4EC2-A4D7-7F537DE463C0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8" authorId="0" shapeId="0" xr:uid="{6784B635-8240-459C-AED7-DDFC545DC7E7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9" authorId="0" shapeId="0" xr:uid="{8614F123-5D8C-4D6B-A63F-E9B48B5368F0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10" authorId="0" shapeId="0" xr:uid="{146A1364-1B75-40BF-86FA-44614FC8843A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11" authorId="0" shapeId="0" xr:uid="{2CBFEF4F-E988-4221-BEE5-FE4407E7EEDA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12" authorId="0" shapeId="0" xr:uid="{B5D8275D-398D-4705-AD69-C4747BC08330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13" authorId="0" shapeId="0" xr:uid="{DC96B5F5-7D44-456B-8F48-15D272C0C792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14" authorId="0" shapeId="0" xr:uid="{21235153-A274-4370-B898-B55A800C0160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15" authorId="0" shapeId="0" xr:uid="{200BCCE7-DEC5-4B36-8748-A8A2C63EC271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16" authorId="0" shapeId="0" xr:uid="{24EA3F8C-50FA-4B1D-8062-BEFD43D22092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17" authorId="0" shapeId="0" xr:uid="{8F0D1106-8F29-4FD1-9DC7-AE4DEFBB0446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18" authorId="0" shapeId="0" xr:uid="{F30B9531-828D-40D7-A16A-C64738C71F32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19" authorId="0" shapeId="0" xr:uid="{F1794236-C369-48E5-8850-4B5F332E16FF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20" authorId="0" shapeId="0" xr:uid="{CDADB7D9-FD4B-4D39-B294-2BC5710B55DE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21" authorId="0" shapeId="0" xr:uid="{C0660D7B-FB6A-40BA-8D81-FF5CE7678CE9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22" authorId="0" shapeId="0" xr:uid="{3725B90D-BC41-4F3F-813C-D72A72019ED3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23" authorId="0" shapeId="0" xr:uid="{7CA6E45B-697C-4E57-AA7C-2BD54FF0B31E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24" authorId="0" shapeId="0" xr:uid="{C9CE0182-1762-4763-8BD4-868673C02E76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25" authorId="0" shapeId="0" xr:uid="{A3606ABD-2A23-4CC6-A176-EEDD07E518F5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26" authorId="0" shapeId="0" xr:uid="{B5E55BEE-182B-4F03-AEDF-CFAC8338E7D6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27" authorId="0" shapeId="0" xr:uid="{54F20AFB-8F1B-4358-B38C-90736ED4C19A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28" authorId="0" shapeId="0" xr:uid="{7A7607C4-E080-42BF-88D0-764DE778F0D9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29" authorId="0" shapeId="0" xr:uid="{0FD43BF1-BE8E-4472-BA9D-0941221487DA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30" authorId="0" shapeId="0" xr:uid="{089BA038-283B-4D62-ADBA-1E7D73FD816B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31" authorId="0" shapeId="0" xr:uid="{F1CCA0D6-8140-4670-8F6A-3CC4C8EC519F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32" authorId="0" shapeId="0" xr:uid="{D8A277A9-983C-470A-9AD2-C768E62D20B2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33" authorId="0" shapeId="0" xr:uid="{43AAD497-3014-43A6-8D38-C0403977198B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34" authorId="0" shapeId="0" xr:uid="{53C13E5B-CC8B-4CD8-8894-72E49621926C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35" authorId="0" shapeId="0" xr:uid="{9ADAB4B1-2CAA-46BC-B13F-3DA28346AD75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36" authorId="0" shapeId="0" xr:uid="{A1A8E29F-A537-44FB-BF5B-080D5B6BE6E9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37" authorId="0" shapeId="0" xr:uid="{FD572DAB-CE05-47B1-8162-13D658574460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38" authorId="0" shapeId="0" xr:uid="{EACB74EA-D7B4-4F05-832F-A2AE7A9C1420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39" authorId="0" shapeId="0" xr:uid="{E6E89AE4-8605-4CDE-9174-21DF233EF549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40" authorId="0" shapeId="0" xr:uid="{40C197FA-72AC-478E-B64A-82F178A6A685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41" authorId="0" shapeId="0" xr:uid="{BCAB4538-2CB9-4ED9-BD79-C39ED0765CB4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42" authorId="0" shapeId="0" xr:uid="{F33F9236-F535-4149-A6A2-04C1CA33619A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43" authorId="0" shapeId="0" xr:uid="{98A547F3-85B4-487D-9ECA-109844D247CB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44" authorId="0" shapeId="0" xr:uid="{3CE15696-32E2-41A2-9323-AE16C52D26D9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45" authorId="0" shapeId="0" xr:uid="{4D1F5202-DF6F-48DC-A3CD-B76ECC73E1C3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46" authorId="0" shapeId="0" xr:uid="{FC9B0BDF-1890-4D18-B496-7A8CE961FE5A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47" authorId="0" shapeId="0" xr:uid="{3F74AD06-D62F-4F6B-BA0F-7895EA4C3D06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48" authorId="0" shapeId="0" xr:uid="{404D4A92-2C6E-4A1F-913C-AD268401E290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49" authorId="0" shapeId="0" xr:uid="{EF0014FB-A75F-4599-95D4-A7BA5DAD66DC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50" authorId="0" shapeId="0" xr:uid="{07749A83-0F1B-467F-9B70-385A8237017E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51" authorId="0" shapeId="0" xr:uid="{A5A243DB-F642-4717-9DB6-90E333FBD03C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52" authorId="0" shapeId="0" xr:uid="{9EDE1B1C-B23E-47E5-92F7-F917C4D64AE9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53" authorId="0" shapeId="0" xr:uid="{8395896A-7DB7-4F25-9038-490F4B2A4BF6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54" authorId="0" shapeId="0" xr:uid="{4BB9B0BE-9D7D-4EA5-B122-5B09746F62A4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55" authorId="0" shapeId="0" xr:uid="{D5EAE531-044D-499F-A9E9-1B7C9B28CFF2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56" authorId="0" shapeId="0" xr:uid="{95663CED-433A-4DB4-8658-79419FB3B86F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57" authorId="0" shapeId="0" xr:uid="{58A83BB2-484B-418B-BDCD-D88989E404AA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58" authorId="0" shapeId="0" xr:uid="{972DD19E-ECAE-43EA-975E-06C80524C10A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59" authorId="0" shapeId="0" xr:uid="{55ED4528-372F-46DD-9872-CDC482A3AA8E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60" authorId="0" shapeId="0" xr:uid="{E74E8715-0AA9-4AC8-93F1-571D17F88239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61" authorId="0" shapeId="0" xr:uid="{5E3CAE49-FE70-4209-9347-31E3E6C66F5F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62" authorId="0" shapeId="0" xr:uid="{1E285B5B-D2E7-4047-9567-AEC6F6261E48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63" authorId="0" shapeId="0" xr:uid="{159D0922-3994-4D3C-A756-E6E477EBE410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64" authorId="0" shapeId="0" xr:uid="{6CA42821-7203-4075-943D-C7F8D3081C88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65" authorId="0" shapeId="0" xr:uid="{BBB737A3-9942-409B-9B16-D9E32E864E0B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66" authorId="0" shapeId="0" xr:uid="{0EEE25AD-25C5-46AA-8CBE-4D038E12FF66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67" authorId="0" shapeId="0" xr:uid="{3FD0FAB9-6519-413D-9089-524D60C89D90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68" authorId="0" shapeId="0" xr:uid="{80286BE8-4DDA-41F0-8552-22A1B9FF63C3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69" authorId="0" shapeId="0" xr:uid="{7EA5B04D-2DA5-4B45-8CD4-14022239405E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70" authorId="0" shapeId="0" xr:uid="{3352F0FC-F6E9-4F01-B2FD-7B2FC7C2B1A6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71" authorId="0" shapeId="0" xr:uid="{BE5D30BF-6AE3-48D1-BA2F-89DAA11ACAB3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72" authorId="0" shapeId="0" xr:uid="{37405EB9-BD67-4EA4-8F2F-39261B46716E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73" authorId="0" shapeId="0" xr:uid="{2B41DD53-BF4A-4F40-91CA-E25598476F6A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74" authorId="0" shapeId="0" xr:uid="{FF95AF7E-6337-4141-AEA6-94D3BDFBED13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75" authorId="0" shapeId="0" xr:uid="{9CE2B112-4F77-414B-BEBE-61A4F536AB09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76" authorId="0" shapeId="0" xr:uid="{5F69BCD7-7E5C-4AE7-8F60-71851D3D714E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77" authorId="0" shapeId="0" xr:uid="{70B05026-3D56-4121-855E-F20EBF317D14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78" authorId="0" shapeId="0" xr:uid="{BA94AD17-80D5-4764-B4C4-790D93BCF6AE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79" authorId="0" shapeId="0" xr:uid="{6928A212-496F-4E7F-B9A7-25C44E8E7AAF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80" authorId="0" shapeId="0" xr:uid="{BAED28D3-E240-4AD2-B01E-14A62A7611C4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81" authorId="0" shapeId="0" xr:uid="{3150FFEB-A5E9-4471-93E9-C10EF1739105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82" authorId="0" shapeId="0" xr:uid="{89E13A1D-B9CE-4A25-B196-BC78D33F0529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83" authorId="0" shapeId="0" xr:uid="{A5BC473A-5D66-47D1-9C04-9E2FD72E2F68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84" authorId="0" shapeId="0" xr:uid="{5D70DC1F-3F20-4A58-BB3B-28F006F72445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85" authorId="0" shapeId="0" xr:uid="{B56617DC-8CC5-4A2A-8EEE-01FDC20EA543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86" authorId="0" shapeId="0" xr:uid="{EC011205-056D-422C-8417-BFDDC8EC3534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87" authorId="0" shapeId="0" xr:uid="{E6ABED2A-CE5F-4BCB-A419-4C53C8B37089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88" authorId="0" shapeId="0" xr:uid="{30ABCDD8-0FC4-42DF-B8A6-69905A502AAE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89" authorId="0" shapeId="0" xr:uid="{4A04CDBF-A5FB-468E-8726-74D51FA53065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90" authorId="0" shapeId="0" xr:uid="{B66B5210-6280-43DE-8526-61D8981FFF65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91" authorId="0" shapeId="0" xr:uid="{4F825C5C-BA48-4790-9A81-2C06256896C2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92" authorId="0" shapeId="0" xr:uid="{D17664C9-3182-4D4E-A5C5-90C61FDEC597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93" authorId="0" shapeId="0" xr:uid="{264B115C-3D2A-49B7-9E7F-208A429C4D36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94" authorId="0" shapeId="0" xr:uid="{B1CF5D62-1D2B-4A98-B970-97AD2DA321F1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95" authorId="0" shapeId="0" xr:uid="{E65F5D89-A910-4EEA-9126-685132E1CCB9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96" authorId="0" shapeId="0" xr:uid="{8B49F511-4244-4253-B44B-EB7F573AC3CA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97" authorId="0" shapeId="0" xr:uid="{22943D41-3B93-4B8C-BD16-7A8398B80112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  <comment ref="D98" authorId="0" shapeId="0" xr:uid="{F35153C1-F5D8-4EF4-A93D-47F0055B8F0A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 - Concentrado
F - Forragem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Ricardo Peixoto</author>
    <author>Ricardo Melo</author>
  </authors>
  <commentList>
    <comment ref="F45" authorId="0" shapeId="0" xr:uid="{A36D58A8-BDC0-4419-89E4-C43FDEB2CBCF}">
      <text>
        <r>
          <rPr>
            <b/>
            <sz val="9"/>
            <color indexed="81"/>
            <rFont val="Segoe UI"/>
            <family val="2"/>
          </rPr>
          <t xml:space="preserve">Ricardo Melo:
</t>
        </r>
        <r>
          <rPr>
            <sz val="9"/>
            <color indexed="81"/>
            <rFont val="Segoe UI"/>
            <family val="2"/>
          </rPr>
          <t>16-17% &gt;= 30 L
15-16% - 20 a 30 L
14-15% &lt; 20 L</t>
        </r>
      </text>
    </comment>
    <comment ref="T45" authorId="0" shapeId="0" xr:uid="{BFF54731-C2D7-414B-9D1B-218106DFF0D3}">
      <text>
        <r>
          <rPr>
            <b/>
            <sz val="9"/>
            <color indexed="81"/>
            <rFont val="Segoe UI"/>
            <family val="2"/>
          </rPr>
          <t xml:space="preserve">Ricardo Melo:
</t>
        </r>
        <r>
          <rPr>
            <sz val="9"/>
            <color indexed="81"/>
            <rFont val="Segoe UI"/>
            <family val="2"/>
          </rPr>
          <t xml:space="preserve">35-45% &gt;= 30 L
30-35% - 20 a 30 L
20-30% &lt; 20 L
</t>
        </r>
      </text>
    </comment>
    <comment ref="AD45" authorId="1" shapeId="0" xr:uid="{7F142E9A-8D31-4FD8-9FE5-CA8C451CE51A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Com suplementação de bicarbonato (0,8 a 1,0% do consumo de matéria seca) ajustar em 0,3 a 0,4% de Na</t>
        </r>
      </text>
    </comment>
    <comment ref="J48" authorId="1" shapeId="0" xr:uid="{DA7FB9A0-1212-4308-884E-9B796FF3EFDE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Lote alta - 0.8 a 0.9
Lote media - 0.9
Lote baixa - 0.9 a 1.1
Ajustar de acordo com a qualidade da fibra da forragem, fibra de alta digestibilidade usar limite superior, fibra de baixa digestibilidade usar limite inferior.
 Em vacas a pasto até 1,2% desde que o manejo do pasto e do pastejo sejam excelentes. Ajustar de acordo com o desempenho dos animais.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Ricardo Melo</author>
  </authors>
  <commentList>
    <comment ref="AD45" authorId="0" shapeId="0" xr:uid="{84DC7018-40FD-4A0B-8BBD-90C864B36E42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Com suplementação de bicarbonato (0,8 a 1,0% do consumo de matéria seca) ajustar em 0,3 a 0,4% de Na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Ricardo Melo</author>
  </authors>
  <commentList>
    <comment ref="F45" authorId="0" shapeId="0" xr:uid="{00000000-0006-0000-0400-000001000000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Para meta de ganho de 700 a 900 g/d
Transição (150 a 200 kg) - 15 a 16%
Crescimento (250 a 350 kg) - 14 a 15%
Reprodução (350 a 550 kg) - 12 a 13%</t>
        </r>
      </text>
    </comment>
    <comment ref="P45" authorId="0" shapeId="0" xr:uid="{00000000-0006-0000-0400-000002000000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Definir de acordo com a exigência de ganho de peso. Ver tabela de exigência</t>
        </r>
      </text>
    </comment>
    <comment ref="J47" authorId="0" shapeId="0" xr:uid="{00000000-0006-0000-0400-000003000000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Bezerras 4-6 m: 0.8
Bezerras 7-12 m: 0.8-0.9
Novilhas: 0.9-1.1
Ajustar de acordo com a qualidade da fibra da forragem, fibra de alta digestibilidade usar limite superior, fibra de baixa digestibilidade usar limite inferior
</t>
        </r>
      </text>
    </comment>
    <comment ref="J49" authorId="0" shapeId="0" xr:uid="{00000000-0006-0000-0400-000004000000}">
      <text>
        <r>
          <rPr>
            <b/>
            <sz val="9"/>
            <color indexed="81"/>
            <rFont val="Segoe UI"/>
            <family val="2"/>
          </rPr>
          <t>Ricardo Melo:</t>
        </r>
        <r>
          <rPr>
            <sz val="9"/>
            <color indexed="81"/>
            <rFont val="Segoe UI"/>
            <family val="2"/>
          </rPr>
          <t xml:space="preserve">
Bezerras 4-6 m: 50-60%
Bezerras 7-12 m: 60-80%
Novilhas: &gt;= 80%
Este conceito pressupõe o máximo de inclusão de forragem. Se a fazenda tiver restrição de forragem ou esta for de muito baixa qualidade estas referências não se aplicam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tc={AD521DDD-4FDA-479D-A87B-C775F6E126E7}</author>
  </authors>
  <commentList>
    <comment ref="A7" authorId="0" shapeId="0" xr:uid="{AD521DDD-4FDA-479D-A87B-C775F6E126E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Atenção para a unidade do rótulo. Caso tenha algum nutriente com unidade diferente, exemplo: P em mg ao invés de g. Tem que converter mg para g para utilizar os cálculos da planilha</t>
      </text>
    </comment>
  </commentList>
</comments>
</file>

<file path=xl/sharedStrings.xml><?xml version="1.0" encoding="utf-8"?>
<sst xmlns="http://schemas.openxmlformats.org/spreadsheetml/2006/main" count="2311" uniqueCount="342">
  <si>
    <t>Peso médio:</t>
  </si>
  <si>
    <t>Unidades</t>
  </si>
  <si>
    <t xml:space="preserve"> % CO</t>
  </si>
  <si>
    <t>% MS</t>
  </si>
  <si>
    <t>Mcal/kg</t>
  </si>
  <si>
    <t>Alimento</t>
  </si>
  <si>
    <t>Custo</t>
  </si>
  <si>
    <t>MS</t>
  </si>
  <si>
    <t>PB</t>
  </si>
  <si>
    <t>PDR</t>
  </si>
  <si>
    <t>FDN</t>
  </si>
  <si>
    <t>eFDN</t>
  </si>
  <si>
    <t>FDNF</t>
  </si>
  <si>
    <t>FDA</t>
  </si>
  <si>
    <t>NEl</t>
  </si>
  <si>
    <t>NDT</t>
  </si>
  <si>
    <t>Oleo</t>
  </si>
  <si>
    <t>Cinza</t>
  </si>
  <si>
    <t>CNF</t>
  </si>
  <si>
    <t>Met</t>
  </si>
  <si>
    <t>Lys</t>
  </si>
  <si>
    <t>Ca</t>
  </si>
  <si>
    <t>P</t>
  </si>
  <si>
    <t>Mg</t>
  </si>
  <si>
    <t>K</t>
  </si>
  <si>
    <t>S</t>
  </si>
  <si>
    <t>Na</t>
  </si>
  <si>
    <t>Cl</t>
  </si>
  <si>
    <t>Uréia</t>
  </si>
  <si>
    <t>Sal Branco</t>
  </si>
  <si>
    <t>kg</t>
  </si>
  <si>
    <t>Mcal</t>
  </si>
  <si>
    <t>Total</t>
  </si>
  <si>
    <t>Refinazil</t>
  </si>
  <si>
    <t>mg/kg</t>
  </si>
  <si>
    <t>KUI/kg</t>
  </si>
  <si>
    <t>UI/kg</t>
  </si>
  <si>
    <t>Co</t>
  </si>
  <si>
    <t>Cu</t>
  </si>
  <si>
    <t>Fe</t>
  </si>
  <si>
    <t>I</t>
  </si>
  <si>
    <t>Mn</t>
  </si>
  <si>
    <t>Se</t>
  </si>
  <si>
    <t>Zn</t>
  </si>
  <si>
    <t>Vit A</t>
  </si>
  <si>
    <t>Vit D3</t>
  </si>
  <si>
    <t>Vit E</t>
  </si>
  <si>
    <t>Biotina</t>
  </si>
  <si>
    <t>Monensina</t>
  </si>
  <si>
    <t>mg</t>
  </si>
  <si>
    <t>KUI</t>
  </si>
  <si>
    <t>UI</t>
  </si>
  <si>
    <t>Ca / P</t>
  </si>
  <si>
    <t>Tipo</t>
  </si>
  <si>
    <t>CONCENTRADO</t>
  </si>
  <si>
    <t>Ingredientes</t>
  </si>
  <si>
    <t>Fórmula</t>
  </si>
  <si>
    <t>Preço/kg</t>
  </si>
  <si>
    <t>Composição</t>
  </si>
  <si>
    <t>Mistura</t>
  </si>
  <si>
    <t>x</t>
  </si>
  <si>
    <t>Consumo da mistura</t>
  </si>
  <si>
    <t>% Custo</t>
  </si>
  <si>
    <t>Custo/kg</t>
  </si>
  <si>
    <t>Alimentos</t>
  </si>
  <si>
    <t>R$/Kg MO</t>
  </si>
  <si>
    <t>MO</t>
  </si>
  <si>
    <t>PNDR</t>
  </si>
  <si>
    <t>Silagem de Sorgo</t>
  </si>
  <si>
    <t>Capacidade misturador</t>
  </si>
  <si>
    <t>30 - 40</t>
  </si>
  <si>
    <t>Matéria Seca Dieta</t>
  </si>
  <si>
    <t>Cevada Desidratada</t>
  </si>
  <si>
    <t>Glutenose</t>
  </si>
  <si>
    <t>Goldenmil</t>
  </si>
  <si>
    <t>Óxido de Magnésio</t>
  </si>
  <si>
    <t>Cevada Umida</t>
  </si>
  <si>
    <t>Polpa Cítrica</t>
  </si>
  <si>
    <t>Farelo de Trigo</t>
  </si>
  <si>
    <t>Trigo Grão</t>
  </si>
  <si>
    <t>Polpa de Beterraba</t>
  </si>
  <si>
    <t>Milho Floculado</t>
  </si>
  <si>
    <t>Melaço de Cana</t>
  </si>
  <si>
    <t>Levedura de Cana</t>
  </si>
  <si>
    <t>Farinha de Sangue</t>
  </si>
  <si>
    <t>Farinha de Penas</t>
  </si>
  <si>
    <t>Farinha de Peixe</t>
  </si>
  <si>
    <t>Bandinha de Soja</t>
  </si>
  <si>
    <t>Casca de Soja</t>
  </si>
  <si>
    <t>Farelo de Arroz</t>
  </si>
  <si>
    <t>Farelo de Amendoim</t>
  </si>
  <si>
    <t>Farelo de Algodão 38 %</t>
  </si>
  <si>
    <t>Casca de Algodão</t>
  </si>
  <si>
    <t>Caroço de Algodão</t>
  </si>
  <si>
    <t>Cama de Frango + Uréia</t>
  </si>
  <si>
    <t>Cama de Frango</t>
  </si>
  <si>
    <t>Bagaço de Cana</t>
  </si>
  <si>
    <t>Silagem de Cana</t>
  </si>
  <si>
    <t>Cana-de-Açúcar</t>
  </si>
  <si>
    <t>Amido</t>
  </si>
  <si>
    <t>%/h</t>
  </si>
  <si>
    <t>kd Amido</t>
  </si>
  <si>
    <t>Amido DR</t>
  </si>
  <si>
    <t>&lt; 1%</t>
  </si>
  <si>
    <t>Sulfato de Magnésio</t>
  </si>
  <si>
    <t>2:1 a 6:1</t>
  </si>
  <si>
    <t>Custo Alimentar/Litro:</t>
  </si>
  <si>
    <t>Lucro/Custo Alimentar</t>
  </si>
  <si>
    <t>R$/Kg MN</t>
  </si>
  <si>
    <t>% MN</t>
  </si>
  <si>
    <t>MN&gt;8</t>
  </si>
  <si>
    <t>MN&gt;19</t>
  </si>
  <si>
    <t>FDN&gt;8</t>
  </si>
  <si>
    <t>FDN&gt;19</t>
  </si>
  <si>
    <t>EE Insat</t>
  </si>
  <si>
    <t>EE</t>
  </si>
  <si>
    <t>Napier Ensilado</t>
  </si>
  <si>
    <t>Napier Verde Bem Manejado</t>
  </si>
  <si>
    <t>Napier Verde Mal Manejado</t>
  </si>
  <si>
    <t>Pastagem Temperada Bem Manejada</t>
  </si>
  <si>
    <t>Pastagem Temperada Mal Manejada</t>
  </si>
  <si>
    <t>Pastagem Tropical Bem Manejada</t>
  </si>
  <si>
    <t>Pastagem Tropical Mal Manejada</t>
  </si>
  <si>
    <t>Tifton Feno Inteiro</t>
  </si>
  <si>
    <t>Tifton Feno Picado</t>
  </si>
  <si>
    <t>Tifton Verde Colhido</t>
  </si>
  <si>
    <t>Gramínea Temperada Feno</t>
  </si>
  <si>
    <t>Gramínea Temperada Silagem Pré-Secada</t>
  </si>
  <si>
    <t>Gramínea Temperada Verde Colhido</t>
  </si>
  <si>
    <t>Alfafa Feno</t>
  </si>
  <si>
    <t>Alfafa Silagem Pré-Secada</t>
  </si>
  <si>
    <t>Alfafa Verde Colhida</t>
  </si>
  <si>
    <t>Silagem de Milho, 27 MS</t>
  </si>
  <si>
    <t>Silagem de Milho, 30 MS</t>
  </si>
  <si>
    <t>Silagem de Milho, 32 MS</t>
  </si>
  <si>
    <t>Silagem de Milho, 35 MS</t>
  </si>
  <si>
    <t>Cevada Grão Moído Fino</t>
  </si>
  <si>
    <t>Farelo de Canola</t>
  </si>
  <si>
    <t>Farelo de Girassol com Casca</t>
  </si>
  <si>
    <t>Farelo de Girassol sem Casca</t>
  </si>
  <si>
    <t>Farelo de Soja Soy Pass</t>
  </si>
  <si>
    <t xml:space="preserve">Farelo de Soja 50 MN  </t>
  </si>
  <si>
    <t>Farelo de Linhaça</t>
  </si>
  <si>
    <t xml:space="preserve">Farinha de Carne  </t>
  </si>
  <si>
    <t>Farinha de Carne e Ossos</t>
  </si>
  <si>
    <t>Milho com Palha e Sabugo</t>
  </si>
  <si>
    <t>Milho Moido Fino</t>
  </si>
  <si>
    <t>Milho Moido Grosso</t>
  </si>
  <si>
    <t>Milho Umido Ensilado, 68 MS Fino</t>
  </si>
  <si>
    <t>Milho Umido Ensilado, 68 MS Grosso</t>
  </si>
  <si>
    <t>Milho Umido Ensilado, 78 MS Fino</t>
  </si>
  <si>
    <t>Milho Umido Ensilado, 78 MS Grosso</t>
  </si>
  <si>
    <t>Soja Integral Crua</t>
  </si>
  <si>
    <t>Soja Integral Extrusada</t>
  </si>
  <si>
    <t>Soja Integral Inativada</t>
  </si>
  <si>
    <t>Soja Integral Tostada</t>
  </si>
  <si>
    <t>Sorgo Floculado</t>
  </si>
  <si>
    <t>Sorgo Grão Moido Fino</t>
  </si>
  <si>
    <t>Sorgo Grão Umido Ensilado</t>
  </si>
  <si>
    <t>Resíduo de Destilaria (DDG) Seco</t>
  </si>
  <si>
    <t>Resíduo de Destilaria (DDG) Umido</t>
  </si>
  <si>
    <t>Sêbo Bovino</t>
  </si>
  <si>
    <t>Real</t>
  </si>
  <si>
    <t>Predito</t>
  </si>
  <si>
    <t>Bicarbonato de sodio</t>
  </si>
  <si>
    <t>Calcareo Calcítico</t>
  </si>
  <si>
    <t>Carbonato de Cálcio</t>
  </si>
  <si>
    <t>Fosfato bicálcico</t>
  </si>
  <si>
    <t>Cloreto de cálcio</t>
  </si>
  <si>
    <t>DCAD mEq/kg DM</t>
  </si>
  <si>
    <t>Cr</t>
  </si>
  <si>
    <t>Levedura</t>
  </si>
  <si>
    <t>UFC/kg</t>
  </si>
  <si>
    <t>UFC</t>
  </si>
  <si>
    <t>FDNF/kg PV</t>
  </si>
  <si>
    <t>LACTAÇÃO</t>
  </si>
  <si>
    <t>F</t>
  </si>
  <si>
    <t>C</t>
  </si>
  <si>
    <t>PRE-PARTO</t>
  </si>
  <si>
    <t>Duração Pre-parto</t>
  </si>
  <si>
    <t>Incidência de hipocalcemia</t>
  </si>
  <si>
    <t>Dias de gestação</t>
  </si>
  <si>
    <t>VACA SECA</t>
  </si>
  <si>
    <t>Custo Alimentar, R$/d:</t>
  </si>
  <si>
    <t>Custo Alimentar R$/d:</t>
  </si>
  <si>
    <t>RECRIA</t>
  </si>
  <si>
    <t>Custo Alimentar R$/kg MS:</t>
  </si>
  <si>
    <t>FDN&gt;8/Amido Deg</t>
  </si>
  <si>
    <t>&gt; 1</t>
  </si>
  <si>
    <t>&lt;= 3%</t>
  </si>
  <si>
    <t>Referência</t>
  </si>
  <si>
    <t>&lt;= 4%</t>
  </si>
  <si>
    <t>0,20 - 0,25%</t>
  </si>
  <si>
    <t>Lis/Met</t>
  </si>
  <si>
    <t>0,35 - 0,40%</t>
  </si>
  <si>
    <t>0,90 - 1,0%</t>
  </si>
  <si>
    <t>Cloreto de amonio</t>
  </si>
  <si>
    <t>% Forragem na MS da dieta</t>
  </si>
  <si>
    <t>40-60%</t>
  </si>
  <si>
    <t>&gt;150</t>
  </si>
  <si>
    <t>Exigência Nutricional (Referência)</t>
  </si>
  <si>
    <t>&gt;19</t>
  </si>
  <si>
    <t>&gt;8-19</t>
  </si>
  <si>
    <t>&lt;8</t>
  </si>
  <si>
    <t>Partículas, % MN</t>
  </si>
  <si>
    <t>&gt;70%</t>
  </si>
  <si>
    <t>&lt; 2</t>
  </si>
  <si>
    <t>0,20-0,40%</t>
  </si>
  <si>
    <t>&lt;= 1</t>
  </si>
  <si>
    <t>56-69%</t>
  </si>
  <si>
    <t>12-17%</t>
  </si>
  <si>
    <t>15 a 20%</t>
  </si>
  <si>
    <t>20 a 30%</t>
  </si>
  <si>
    <t>20-25</t>
  </si>
  <si>
    <t>2 a 7%</t>
  </si>
  <si>
    <t>Gordura de palma fracionada</t>
  </si>
  <si>
    <t>Classificação</t>
  </si>
  <si>
    <t>Aveia Branca (grão)</t>
  </si>
  <si>
    <t>Aveia Preta (grão)</t>
  </si>
  <si>
    <t>Subproduto</t>
  </si>
  <si>
    <t>Energético</t>
  </si>
  <si>
    <t>Proteico</t>
  </si>
  <si>
    <t>Gordura</t>
  </si>
  <si>
    <t>Mineral</t>
  </si>
  <si>
    <t>Forragem</t>
  </si>
  <si>
    <t>&gt;= 1</t>
  </si>
  <si>
    <t>&lt;= 2</t>
  </si>
  <si>
    <t>Protein digestion rate</t>
  </si>
  <si>
    <t>Protein A</t>
  </si>
  <si>
    <t>% CP</t>
  </si>
  <si>
    <t>Protein B</t>
  </si>
  <si>
    <t>Protein C</t>
  </si>
  <si>
    <t>RUP Digest</t>
  </si>
  <si>
    <t>%</t>
  </si>
  <si>
    <t>CP Digestibility</t>
  </si>
  <si>
    <t>NDF Digestibility</t>
  </si>
  <si>
    <t>Fat Digestibility</t>
  </si>
  <si>
    <t>FORMULADOR RAÇÃO NRC 2001</t>
  </si>
  <si>
    <t>Composição da ração na MS</t>
  </si>
  <si>
    <t>Taxa passagem forragem (kP F)</t>
  </si>
  <si>
    <t>Taxa passagem de concentrado (kP C)</t>
  </si>
  <si>
    <t>Taxa de passagem de líquido (kP L)</t>
  </si>
  <si>
    <t>&gt;= 19%</t>
  </si>
  <si>
    <t>1.0-1.1%</t>
  </si>
  <si>
    <t>0.8 - 1.1%</t>
  </si>
  <si>
    <t>Partículas acima de 8 mm, % MN</t>
  </si>
  <si>
    <t>&lt;= 50%</t>
  </si>
  <si>
    <t>Lisyne</t>
  </si>
  <si>
    <t>Methionine</t>
  </si>
  <si>
    <t>10-11%</t>
  </si>
  <si>
    <t>4 - 7%</t>
  </si>
  <si>
    <t>15-18%</t>
  </si>
  <si>
    <t>0.3-0.6</t>
  </si>
  <si>
    <t>14-17%</t>
  </si>
  <si>
    <t>20-45%</t>
  </si>
  <si>
    <t>1.4-1.5</t>
  </si>
  <si>
    <t>14-15%</t>
  </si>
  <si>
    <t>0.9-1.0%</t>
  </si>
  <si>
    <t>12-13.0%</t>
  </si>
  <si>
    <t>2-3.0%</t>
  </si>
  <si>
    <t>&lt;= 5%</t>
  </si>
  <si>
    <t>1.3-1.4</t>
  </si>
  <si>
    <t>50-90%</t>
  </si>
  <si>
    <t>Mineral Lactação Completo</t>
  </si>
  <si>
    <t>Mineral Pré-Parto Completo</t>
  </si>
  <si>
    <t>Mineral Ração Aleitamento</t>
  </si>
  <si>
    <t>Mineral Recria Completo</t>
  </si>
  <si>
    <t>Flexypro</t>
  </si>
  <si>
    <t>Referência Ração Bezerras</t>
  </si>
  <si>
    <t>0,6-0,70%</t>
  </si>
  <si>
    <t>0,4-0,45%</t>
  </si>
  <si>
    <t>0,14-0,15%</t>
  </si>
  <si>
    <t>18 - 24%</t>
  </si>
  <si>
    <t>20-30%</t>
  </si>
  <si>
    <t>3-4%</t>
  </si>
  <si>
    <t>15-25%</t>
  </si>
  <si>
    <t>6-20%</t>
  </si>
  <si>
    <t>CV</t>
  </si>
  <si>
    <t>Meta</t>
  </si>
  <si>
    <t>FORMULADOR RAÇÃO BEZERRAS ALEITAMENTO</t>
  </si>
  <si>
    <t>1 a 2 x 10^10</t>
  </si>
  <si>
    <t>-50 a -150</t>
  </si>
  <si>
    <t>Pomace</t>
  </si>
  <si>
    <t>&gt;= 18%</t>
  </si>
  <si>
    <t>0,6 - 0,8%</t>
  </si>
  <si>
    <t>0,25 - 0,30%</t>
  </si>
  <si>
    <t>10 - 15</t>
  </si>
  <si>
    <t>50 - 60</t>
  </si>
  <si>
    <t>0.3 - 0,6</t>
  </si>
  <si>
    <t>0,37%-0,45%</t>
  </si>
  <si>
    <t>0,2-0,30%</t>
  </si>
  <si>
    <t>0,25-0,35%</t>
  </si>
  <si>
    <t>4-5%</t>
  </si>
  <si>
    <t>0,30-0,35%</t>
  </si>
  <si>
    <t>0,13-1,8%</t>
  </si>
  <si>
    <t>50-60</t>
  </si>
  <si>
    <t>300-350</t>
  </si>
  <si>
    <t>&lt;5%</t>
  </si>
  <si>
    <t>Pastagem Azevem</t>
  </si>
  <si>
    <t>Exigência Nutricional</t>
  </si>
  <si>
    <t>&lt;15%</t>
  </si>
  <si>
    <t>Milho Umido</t>
  </si>
  <si>
    <t>Gordura protegida</t>
  </si>
  <si>
    <t>Leite R$</t>
  </si>
  <si>
    <t>Gordura, %</t>
  </si>
  <si>
    <t>Proteína, %</t>
  </si>
  <si>
    <t>Lactose, %</t>
  </si>
  <si>
    <t>Peso médio, kg</t>
  </si>
  <si>
    <t>DEL médio, d</t>
  </si>
  <si>
    <t>Leite médio, kg/d</t>
  </si>
  <si>
    <t>Peso idade adulta</t>
  </si>
  <si>
    <t>ECC ( 1 a 5)</t>
  </si>
  <si>
    <t>Paridade (0 ou 1)</t>
  </si>
  <si>
    <t>&lt;= 2%</t>
  </si>
  <si>
    <t>18-19%</t>
  </si>
  <si>
    <t>&gt;7%</t>
  </si>
  <si>
    <t>17 a 18%</t>
  </si>
  <si>
    <t>&lt; 0,9%</t>
  </si>
  <si>
    <t>35-40%</t>
  </si>
  <si>
    <t>22 a 25%</t>
  </si>
  <si>
    <t>0,8 a 1,0%</t>
  </si>
  <si>
    <t>0,30-0,40%</t>
  </si>
  <si>
    <t>15 - 20</t>
  </si>
  <si>
    <t>40 - 60</t>
  </si>
  <si>
    <t>60 - 80</t>
  </si>
  <si>
    <t>0,5 - 0,6</t>
  </si>
  <si>
    <t>40 a 50</t>
  </si>
  <si>
    <t>250-300</t>
  </si>
  <si>
    <t>40-50</t>
  </si>
  <si>
    <t>3000-4000</t>
  </si>
  <si>
    <t>7000-8000</t>
  </si>
  <si>
    <t>200-400</t>
  </si>
  <si>
    <t>25-30</t>
  </si>
  <si>
    <t>1500-2000</t>
  </si>
  <si>
    <t>&gt;= 20%</t>
  </si>
  <si>
    <t>g/kg</t>
  </si>
  <si>
    <t>mg/kg ou ppm</t>
  </si>
  <si>
    <t>Unidade do rótulo</t>
  </si>
  <si>
    <t>Lançar rótulo</t>
  </si>
  <si>
    <t>Umidade</t>
  </si>
  <si>
    <t>Lançar no banco de alimentos</t>
  </si>
  <si>
    <t>NÃO PODE COPIAR E COLAR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</si>
</sst>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"/>
    <numFmt numFmtId="167" formatCode="0.0%"/>
    <numFmt numFmtId="168" formatCode="0.000"/>
    <numFmt numFmtId="169" formatCode="0.0000"/>
    <numFmt numFmtId="170" formatCode="#,##0.000"/>
    <numFmt numFmtId="171" formatCode="#,##0.0"/>
    <numFmt numFmtId="172" formatCode="0.0_ ;[Red]\-0.0\ "/>
    <numFmt numFmtId="173" formatCode="_-[$R$-416]\ * #,##0.00_-;\-[$R$-416]\ * #,##0.00_-;_-[$R$-416]\ * &quot;-&quot;??_-;_-@_-"/>
    <numFmt numFmtId="174" formatCode="[$R$-416]\ #,##0.00;\-[$R$-416]\ #,##0.00"/>
    <numFmt numFmtId="175" formatCode="&quot;R$&quot;\ #,##0.00"/>
    <numFmt numFmtId="176" formatCode="&quot;R$&quot;#,##0.00"/>
    <numFmt numFmtId="177" formatCode="0.0E+00"/>
    <numFmt numFmtId="178" formatCode="0.E+00"/>
  </numFmts>
  <fonts count="2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3"/>
      <name val="Arial"/>
      <family val="2"/>
    </font>
    <font>
      <sz val="13"/>
      <name val="Arial"/>
      <family val="2"/>
    </font>
    <font>
      <b/>
      <sz val="13"/>
      <color indexed="8"/>
      <name val="Arial"/>
      <family val="2"/>
    </font>
    <font>
      <b/>
      <sz val="13"/>
      <color theme="1"/>
      <name val="Arial"/>
      <family val="2"/>
    </font>
    <font>
      <b/>
      <sz val="13"/>
      <color rgb="FF0000FF"/>
      <name val="Arial"/>
      <family val="2"/>
    </font>
    <font>
      <b/>
      <sz val="13"/>
      <color indexed="10"/>
      <name val="Arial"/>
      <family val="2"/>
    </font>
    <font>
      <sz val="13"/>
      <color indexed="10"/>
      <name val="Arial"/>
      <family val="2"/>
    </font>
    <font>
      <b/>
      <sz val="13"/>
      <color rgb="FF0000CC"/>
      <name val="Arial"/>
      <family val="2"/>
    </font>
    <font>
      <b/>
      <sz val="13"/>
      <color theme="0"/>
      <name val="Arial"/>
      <family val="2"/>
    </font>
    <font>
      <sz val="13"/>
      <color theme="1"/>
      <name val="Arial"/>
      <family val="2"/>
    </font>
    <font>
      <sz val="13"/>
      <color theme="0"/>
      <name val="Arial"/>
      <family val="2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/>
      <diagonal/>
    </border>
    <border>
      <left/>
      <right/>
      <top/>
      <bottom style="thick">
        <color theme="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1"/>
      </bottom>
      <diagonal/>
    </border>
    <border>
      <left/>
      <right/>
      <top style="thick">
        <color theme="4"/>
      </top>
      <bottom style="thick">
        <color theme="4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26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68" fontId="0" fillId="0" borderId="0" xfId="0" applyNumberFormat="1" applyAlignment="1">
      <alignment horizontal="center"/>
    </xf>
    <xf numFmtId="0" fontId="0" fillId="0" borderId="6" xfId="0" applyBorder="1" applyAlignment="1">
      <alignment horizontal="center"/>
    </xf>
    <xf numFmtId="168" fontId="4" fillId="0" borderId="0" xfId="0" applyNumberFormat="1" applyFont="1" applyAlignment="1">
      <alignment horizontal="center"/>
    </xf>
    <xf numFmtId="168" fontId="1" fillId="0" borderId="0" xfId="0" applyNumberFormat="1" applyFont="1" applyAlignment="1">
      <alignment horizontal="center"/>
    </xf>
    <xf numFmtId="0" fontId="8" fillId="0" borderId="6" xfId="0" applyFont="1" applyBorder="1"/>
    <xf numFmtId="168" fontId="0" fillId="0" borderId="6" xfId="0" applyNumberFormat="1" applyBorder="1" applyAlignment="1">
      <alignment horizontal="center"/>
    </xf>
    <xf numFmtId="0" fontId="0" fillId="0" borderId="6" xfId="0" applyBorder="1"/>
    <xf numFmtId="0" fontId="6" fillId="0" borderId="6" xfId="2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167" fontId="2" fillId="0" borderId="6" xfId="2" applyNumberFormat="1" applyBorder="1" applyAlignment="1">
      <alignment horizontal="center" vertical="center"/>
    </xf>
    <xf numFmtId="0" fontId="2" fillId="0" borderId="6" xfId="0" applyFont="1" applyBorder="1"/>
    <xf numFmtId="167" fontId="7" fillId="0" borderId="6" xfId="2" applyNumberFormat="1" applyFont="1" applyBorder="1" applyAlignment="1">
      <alignment horizontal="center" vertical="center"/>
    </xf>
    <xf numFmtId="166" fontId="7" fillId="0" borderId="6" xfId="2" applyNumberFormat="1" applyFont="1" applyBorder="1" applyAlignment="1">
      <alignment horizontal="center" vertical="center"/>
    </xf>
    <xf numFmtId="3" fontId="7" fillId="0" borderId="6" xfId="2" applyNumberFormat="1" applyFont="1" applyBorder="1" applyAlignment="1">
      <alignment horizontal="center" vertical="center"/>
    </xf>
    <xf numFmtId="3" fontId="2" fillId="0" borderId="6" xfId="2" applyNumberFormat="1" applyBorder="1" applyAlignment="1">
      <alignment horizontal="center" vertical="center"/>
    </xf>
    <xf numFmtId="4" fontId="8" fillId="0" borderId="6" xfId="0" applyNumberFormat="1" applyFont="1" applyBorder="1"/>
    <xf numFmtId="0" fontId="7" fillId="0" borderId="6" xfId="0" applyFont="1" applyBorder="1"/>
    <xf numFmtId="4" fontId="8" fillId="0" borderId="6" xfId="0" applyNumberFormat="1" applyFont="1" applyBorder="1" applyAlignment="1">
      <alignment horizontal="left"/>
    </xf>
    <xf numFmtId="167" fontId="7" fillId="0" borderId="6" xfId="3" applyNumberFormat="1" applyFont="1" applyFill="1" applyBorder="1" applyAlignment="1">
      <alignment horizontal="center" vertical="center"/>
    </xf>
    <xf numFmtId="168" fontId="2" fillId="0" borderId="6" xfId="0" applyNumberFormat="1" applyFont="1" applyBorder="1" applyAlignment="1">
      <alignment horizontal="center"/>
    </xf>
    <xf numFmtId="0" fontId="8" fillId="0" borderId="0" xfId="0" applyFont="1"/>
    <xf numFmtId="0" fontId="0" fillId="0" borderId="0" xfId="0" applyAlignment="1">
      <alignment horizontal="center" vertical="center"/>
    </xf>
    <xf numFmtId="0" fontId="6" fillId="0" borderId="0" xfId="2" applyFont="1" applyAlignment="1">
      <alignment horizontal="left"/>
    </xf>
    <xf numFmtId="4" fontId="8" fillId="0" borderId="0" xfId="0" applyNumberFormat="1" applyFont="1"/>
    <xf numFmtId="0" fontId="2" fillId="0" borderId="6" xfId="0" applyFont="1" applyBorder="1" applyAlignment="1">
      <alignment horizontal="center" vertical="center"/>
    </xf>
    <xf numFmtId="10" fontId="0" fillId="0" borderId="6" xfId="3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71" fontId="1" fillId="0" borderId="0" xfId="0" applyNumberFormat="1" applyFont="1" applyAlignment="1">
      <alignment horizontal="center" vertical="center"/>
    </xf>
    <xf numFmtId="171" fontId="4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7" fontId="4" fillId="0" borderId="0" xfId="0" applyNumberFormat="1" applyFont="1" applyAlignment="1">
      <alignment horizontal="center" vertical="center"/>
    </xf>
    <xf numFmtId="3" fontId="2" fillId="0" borderId="6" xfId="0" applyNumberFormat="1" applyFont="1" applyBorder="1" applyAlignment="1">
      <alignment horizontal="center" vertical="center"/>
    </xf>
    <xf numFmtId="3" fontId="7" fillId="0" borderId="10" xfId="2" applyNumberFormat="1" applyFon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167" fontId="0" fillId="0" borderId="6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167" fontId="2" fillId="0" borderId="6" xfId="3" applyNumberFormat="1" applyFont="1" applyFill="1" applyBorder="1" applyAlignment="1">
      <alignment horizontal="center" vertical="center"/>
    </xf>
    <xf numFmtId="3" fontId="7" fillId="0" borderId="6" xfId="0" applyNumberFormat="1" applyFont="1" applyBorder="1" applyAlignment="1">
      <alignment horizontal="center" vertical="center"/>
    </xf>
    <xf numFmtId="167" fontId="7" fillId="0" borderId="6" xfId="0" applyNumberFormat="1" applyFont="1" applyBorder="1" applyAlignment="1">
      <alignment horizontal="center" vertical="center"/>
    </xf>
    <xf numFmtId="167" fontId="2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166" fontId="2" fillId="0" borderId="6" xfId="3" applyNumberFormat="1" applyFont="1" applyFill="1" applyBorder="1" applyAlignment="1">
      <alignment horizontal="center" vertical="center"/>
    </xf>
    <xf numFmtId="167" fontId="9" fillId="0" borderId="6" xfId="0" applyNumberFormat="1" applyFont="1" applyBorder="1" applyAlignment="1">
      <alignment horizontal="center" vertical="center"/>
    </xf>
    <xf numFmtId="167" fontId="9" fillId="0" borderId="6" xfId="2" applyNumberFormat="1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1" fontId="0" fillId="0" borderId="0" xfId="0" applyNumberFormat="1" applyAlignment="1">
      <alignment horizontal="center" vertical="center"/>
    </xf>
    <xf numFmtId="3" fontId="7" fillId="0" borderId="10" xfId="0" applyNumberFormat="1" applyFont="1" applyBorder="1" applyAlignment="1">
      <alignment horizontal="center" vertical="center"/>
    </xf>
    <xf numFmtId="3" fontId="6" fillId="0" borderId="6" xfId="2" applyNumberFormat="1" applyFont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10" fontId="2" fillId="0" borderId="6" xfId="3" applyNumberFormat="1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67" fontId="1" fillId="4" borderId="0" xfId="0" applyNumberFormat="1" applyFont="1" applyFill="1" applyAlignment="1">
      <alignment horizontal="center" vertical="center"/>
    </xf>
    <xf numFmtId="0" fontId="6" fillId="4" borderId="0" xfId="2" applyFont="1" applyFill="1" applyAlignment="1">
      <alignment horizontal="center" vertical="center"/>
    </xf>
    <xf numFmtId="167" fontId="4" fillId="4" borderId="0" xfId="0" applyNumberFormat="1" applyFont="1" applyFill="1" applyAlignment="1">
      <alignment horizontal="center" vertical="center"/>
    </xf>
    <xf numFmtId="10" fontId="1" fillId="4" borderId="0" xfId="0" applyNumberFormat="1" applyFont="1" applyFill="1" applyAlignment="1">
      <alignment horizontal="center" vertical="center"/>
    </xf>
    <xf numFmtId="171" fontId="1" fillId="4" borderId="0" xfId="0" applyNumberFormat="1" applyFont="1" applyFill="1" applyAlignment="1">
      <alignment horizontal="center" vertical="center"/>
    </xf>
    <xf numFmtId="171" fontId="4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0" borderId="32" xfId="2" applyFont="1" applyBorder="1" applyAlignment="1">
      <alignment horizontal="left"/>
    </xf>
    <xf numFmtId="0" fontId="13" fillId="0" borderId="0" xfId="0" applyFont="1" applyProtection="1">
      <protection locked="0"/>
    </xf>
    <xf numFmtId="0" fontId="12" fillId="0" borderId="7" xfId="0" applyFont="1" applyBorder="1" applyAlignment="1">
      <alignment horizontal="right"/>
    </xf>
    <xf numFmtId="3" fontId="12" fillId="2" borderId="17" xfId="0" applyNumberFormat="1" applyFont="1" applyFill="1" applyBorder="1" applyAlignment="1" applyProtection="1">
      <alignment horizontal="center"/>
      <protection locked="0"/>
    </xf>
    <xf numFmtId="0" fontId="12" fillId="0" borderId="0" xfId="0" applyFont="1" applyAlignment="1">
      <alignment horizontal="right"/>
    </xf>
    <xf numFmtId="176" fontId="12" fillId="0" borderId="0" xfId="0" applyNumberFormat="1" applyFont="1" applyAlignment="1">
      <alignment horizontal="center"/>
    </xf>
    <xf numFmtId="0" fontId="13" fillId="0" borderId="0" xfId="0" applyFont="1"/>
    <xf numFmtId="173" fontId="12" fillId="0" borderId="0" xfId="1" applyNumberFormat="1" applyFont="1" applyFill="1" applyBorder="1" applyAlignment="1" applyProtection="1">
      <alignment horizontal="center"/>
    </xf>
    <xf numFmtId="0" fontId="13" fillId="0" borderId="7" xfId="0" applyFont="1" applyBorder="1" applyAlignment="1">
      <alignment horizontal="center"/>
    </xf>
    <xf numFmtId="0" fontId="13" fillId="0" borderId="7" xfId="0" applyFont="1" applyBorder="1"/>
    <xf numFmtId="0" fontId="13" fillId="0" borderId="7" xfId="0" applyFont="1" applyBorder="1" applyProtection="1">
      <protection locked="0"/>
    </xf>
    <xf numFmtId="166" fontId="12" fillId="0" borderId="0" xfId="0" applyNumberFormat="1" applyFont="1" applyAlignment="1">
      <alignment horizontal="center"/>
    </xf>
    <xf numFmtId="3" fontId="12" fillId="2" borderId="16" xfId="0" applyNumberFormat="1" applyFont="1" applyFill="1" applyBorder="1" applyAlignment="1" applyProtection="1">
      <alignment horizontal="center"/>
      <protection locked="0"/>
    </xf>
    <xf numFmtId="175" fontId="12" fillId="0" borderId="0" xfId="0" applyNumberFormat="1" applyFont="1" applyAlignment="1">
      <alignment horizontal="right"/>
    </xf>
    <xf numFmtId="0" fontId="12" fillId="0" borderId="0" xfId="0" applyFont="1" applyAlignment="1">
      <alignment horizontal="center"/>
    </xf>
    <xf numFmtId="174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1" xfId="0" applyFont="1" applyBorder="1"/>
    <xf numFmtId="0" fontId="12" fillId="0" borderId="0" xfId="0" applyFont="1" applyAlignment="1">
      <alignment horizontal="left"/>
    </xf>
    <xf numFmtId="2" fontId="13" fillId="0" borderId="0" xfId="0" applyNumberFormat="1" applyFont="1" applyAlignment="1">
      <alignment horizontal="center"/>
    </xf>
    <xf numFmtId="175" fontId="12" fillId="0" borderId="0" xfId="0" applyNumberFormat="1" applyFont="1" applyAlignment="1">
      <alignment horizontal="center"/>
    </xf>
    <xf numFmtId="0" fontId="12" fillId="0" borderId="1" xfId="0" applyFont="1" applyBorder="1"/>
    <xf numFmtId="167" fontId="12" fillId="0" borderId="0" xfId="0" applyNumberFormat="1" applyFont="1" applyAlignment="1">
      <alignment horizontal="center"/>
    </xf>
    <xf numFmtId="0" fontId="14" fillId="0" borderId="0" xfId="2" applyFont="1" applyAlignment="1">
      <alignment horizontal="center"/>
    </xf>
    <xf numFmtId="2" fontId="12" fillId="0" borderId="0" xfId="0" applyNumberFormat="1" applyFont="1" applyAlignment="1">
      <alignment horizontal="center"/>
    </xf>
    <xf numFmtId="10" fontId="12" fillId="0" borderId="0" xfId="0" applyNumberFormat="1" applyFont="1" applyAlignment="1">
      <alignment horizontal="center"/>
    </xf>
    <xf numFmtId="171" fontId="12" fillId="0" borderId="0" xfId="0" applyNumberFormat="1" applyFont="1" applyAlignment="1">
      <alignment horizontal="center"/>
    </xf>
    <xf numFmtId="0" fontId="12" fillId="0" borderId="0" xfId="0" applyFont="1"/>
    <xf numFmtId="0" fontId="12" fillId="0" borderId="9" xfId="0" applyFont="1" applyBorder="1"/>
    <xf numFmtId="171" fontId="12" fillId="0" borderId="9" xfId="0" applyNumberFormat="1" applyFont="1" applyBorder="1" applyAlignment="1">
      <alignment horizontal="center"/>
    </xf>
    <xf numFmtId="2" fontId="12" fillId="2" borderId="17" xfId="0" applyNumberFormat="1" applyFont="1" applyFill="1" applyBorder="1" applyAlignment="1" applyProtection="1">
      <alignment horizontal="left"/>
      <protection locked="0"/>
    </xf>
    <xf numFmtId="168" fontId="13" fillId="0" borderId="8" xfId="0" applyNumberFormat="1" applyFont="1" applyBorder="1" applyAlignment="1">
      <alignment horizontal="center"/>
    </xf>
    <xf numFmtId="1" fontId="13" fillId="0" borderId="8" xfId="0" applyNumberFormat="1" applyFont="1" applyBorder="1" applyAlignment="1">
      <alignment horizontal="center" vertical="center"/>
    </xf>
    <xf numFmtId="167" fontId="13" fillId="0" borderId="8" xfId="0" applyNumberFormat="1" applyFont="1" applyBorder="1" applyAlignment="1">
      <alignment horizontal="center"/>
    </xf>
    <xf numFmtId="2" fontId="13" fillId="0" borderId="8" xfId="0" applyNumberFormat="1" applyFont="1" applyBorder="1" applyAlignment="1">
      <alignment horizontal="center"/>
    </xf>
    <xf numFmtId="10" fontId="13" fillId="0" borderId="8" xfId="0" applyNumberFormat="1" applyFont="1" applyBorder="1" applyAlignment="1">
      <alignment horizontal="center"/>
    </xf>
    <xf numFmtId="166" fontId="13" fillId="0" borderId="8" xfId="0" applyNumberFormat="1" applyFont="1" applyBorder="1" applyAlignment="1">
      <alignment horizontal="center"/>
    </xf>
    <xf numFmtId="2" fontId="12" fillId="2" borderId="15" xfId="0" applyNumberFormat="1" applyFont="1" applyFill="1" applyBorder="1" applyAlignment="1" applyProtection="1">
      <alignment horizontal="left"/>
      <protection locked="0"/>
    </xf>
    <xf numFmtId="168" fontId="13" fillId="0" borderId="0" xfId="0" applyNumberFormat="1" applyFont="1" applyAlignment="1">
      <alignment horizontal="center"/>
    </xf>
    <xf numFmtId="1" fontId="13" fillId="0" borderId="0" xfId="0" applyNumberFormat="1" applyFont="1" applyAlignment="1">
      <alignment horizontal="center" vertical="center"/>
    </xf>
    <xf numFmtId="167" fontId="13" fillId="0" borderId="0" xfId="0" applyNumberFormat="1" applyFont="1" applyAlignment="1">
      <alignment horizontal="center"/>
    </xf>
    <xf numFmtId="10" fontId="13" fillId="0" borderId="0" xfId="0" applyNumberFormat="1" applyFont="1" applyAlignment="1">
      <alignment horizontal="center"/>
    </xf>
    <xf numFmtId="166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/>
    </xf>
    <xf numFmtId="2" fontId="12" fillId="2" borderId="16" xfId="0" applyNumberFormat="1" applyFont="1" applyFill="1" applyBorder="1" applyAlignment="1" applyProtection="1">
      <alignment horizontal="left"/>
      <protection locked="0"/>
    </xf>
    <xf numFmtId="168" fontId="13" fillId="0" borderId="9" xfId="0" applyNumberFormat="1" applyFont="1" applyBorder="1" applyAlignment="1">
      <alignment horizontal="center"/>
    </xf>
    <xf numFmtId="0" fontId="13" fillId="0" borderId="9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167" fontId="13" fillId="0" borderId="9" xfId="0" applyNumberFormat="1" applyFont="1" applyBorder="1" applyAlignment="1">
      <alignment horizontal="center"/>
    </xf>
    <xf numFmtId="2" fontId="13" fillId="0" borderId="9" xfId="0" applyNumberFormat="1" applyFont="1" applyBorder="1" applyAlignment="1">
      <alignment horizontal="center"/>
    </xf>
    <xf numFmtId="10" fontId="13" fillId="0" borderId="9" xfId="0" applyNumberFormat="1" applyFont="1" applyBorder="1" applyAlignment="1">
      <alignment horizontal="center"/>
    </xf>
    <xf numFmtId="166" fontId="13" fillId="0" borderId="9" xfId="0" applyNumberFormat="1" applyFont="1" applyBorder="1" applyAlignment="1">
      <alignment horizontal="center"/>
    </xf>
    <xf numFmtId="0" fontId="15" fillId="0" borderId="0" xfId="0" applyFont="1"/>
    <xf numFmtId="2" fontId="12" fillId="2" borderId="17" xfId="0" applyNumberFormat="1" applyFont="1" applyFill="1" applyBorder="1" applyAlignment="1" applyProtection="1">
      <alignment horizontal="center"/>
      <protection locked="0"/>
    </xf>
    <xf numFmtId="171" fontId="13" fillId="0" borderId="0" xfId="0" applyNumberFormat="1" applyFont="1" applyAlignment="1">
      <alignment horizontal="center"/>
    </xf>
    <xf numFmtId="2" fontId="12" fillId="2" borderId="15" xfId="0" applyNumberFormat="1" applyFont="1" applyFill="1" applyBorder="1" applyAlignment="1" applyProtection="1">
      <alignment horizontal="center"/>
      <protection locked="0"/>
    </xf>
    <xf numFmtId="3" fontId="13" fillId="0" borderId="0" xfId="0" applyNumberFormat="1" applyFont="1" applyAlignment="1">
      <alignment horizontal="center"/>
    </xf>
    <xf numFmtId="0" fontId="15" fillId="0" borderId="9" xfId="0" applyFont="1" applyBorder="1"/>
    <xf numFmtId="2" fontId="12" fillId="2" borderId="16" xfId="0" applyNumberFormat="1" applyFont="1" applyFill="1" applyBorder="1" applyAlignment="1" applyProtection="1">
      <alignment horizontal="center"/>
      <protection locked="0"/>
    </xf>
    <xf numFmtId="171" fontId="13" fillId="0" borderId="9" xfId="0" applyNumberFormat="1" applyFont="1" applyBorder="1" applyAlignment="1">
      <alignment horizontal="center"/>
    </xf>
    <xf numFmtId="9" fontId="12" fillId="0" borderId="18" xfId="3" applyFont="1" applyFill="1" applyBorder="1" applyAlignment="1" applyProtection="1">
      <alignment horizontal="center"/>
    </xf>
    <xf numFmtId="166" fontId="16" fillId="0" borderId="22" xfId="0" applyNumberFormat="1" applyFont="1" applyBorder="1" applyAlignment="1">
      <alignment horizontal="left"/>
    </xf>
    <xf numFmtId="0" fontId="13" fillId="0" borderId="22" xfId="0" applyFont="1" applyBorder="1"/>
    <xf numFmtId="0" fontId="13" fillId="0" borderId="22" xfId="0" applyFont="1" applyBorder="1" applyAlignment="1">
      <alignment horizontal="center"/>
    </xf>
    <xf numFmtId="167" fontId="13" fillId="0" borderId="22" xfId="0" applyNumberFormat="1" applyFont="1" applyBorder="1" applyAlignment="1">
      <alignment horizontal="center"/>
    </xf>
    <xf numFmtId="166" fontId="16" fillId="0" borderId="22" xfId="0" applyNumberFormat="1" applyFont="1" applyBorder="1" applyAlignment="1">
      <alignment horizontal="center"/>
    </xf>
    <xf numFmtId="10" fontId="16" fillId="0" borderId="22" xfId="0" applyNumberFormat="1" applyFont="1" applyBorder="1" applyAlignment="1">
      <alignment horizontal="center"/>
    </xf>
    <xf numFmtId="167" fontId="16" fillId="0" borderId="22" xfId="0" applyNumberFormat="1" applyFont="1" applyBorder="1" applyAlignment="1">
      <alignment horizontal="center"/>
    </xf>
    <xf numFmtId="2" fontId="16" fillId="0" borderId="22" xfId="0" applyNumberFormat="1" applyFont="1" applyBorder="1" applyAlignment="1">
      <alignment horizontal="center"/>
    </xf>
    <xf numFmtId="1" fontId="16" fillId="0" borderId="22" xfId="0" applyNumberFormat="1" applyFont="1" applyBorder="1" applyAlignment="1">
      <alignment horizontal="center"/>
    </xf>
    <xf numFmtId="0" fontId="17" fillId="0" borderId="0" xfId="0" applyFont="1" applyAlignment="1">
      <alignment horizontal="left"/>
    </xf>
    <xf numFmtId="2" fontId="18" fillId="0" borderId="0" xfId="0" applyNumberFormat="1" applyFont="1" applyAlignment="1">
      <alignment horizontal="center"/>
    </xf>
    <xf numFmtId="1" fontId="18" fillId="0" borderId="0" xfId="0" applyNumberFormat="1" applyFont="1" applyAlignment="1">
      <alignment horizontal="center"/>
    </xf>
    <xf numFmtId="166" fontId="15" fillId="0" borderId="23" xfId="0" applyNumberFormat="1" applyFont="1" applyBorder="1" applyAlignment="1">
      <alignment horizontal="left"/>
    </xf>
    <xf numFmtId="168" fontId="15" fillId="0" borderId="23" xfId="0" applyNumberFormat="1" applyFont="1" applyBorder="1" applyAlignment="1">
      <alignment horizontal="center"/>
    </xf>
    <xf numFmtId="0" fontId="15" fillId="0" borderId="23" xfId="0" applyFont="1" applyBorder="1"/>
    <xf numFmtId="166" fontId="15" fillId="0" borderId="23" xfId="0" applyNumberFormat="1" applyFont="1" applyBorder="1" applyAlignment="1">
      <alignment horizontal="center"/>
    </xf>
    <xf numFmtId="167" fontId="15" fillId="0" borderId="23" xfId="0" applyNumberFormat="1" applyFont="1" applyBorder="1" applyAlignment="1">
      <alignment horizontal="center"/>
    </xf>
    <xf numFmtId="10" fontId="15" fillId="0" borderId="23" xfId="0" applyNumberFormat="1" applyFont="1" applyBorder="1" applyAlignment="1">
      <alignment horizontal="center"/>
    </xf>
    <xf numFmtId="2" fontId="15" fillId="0" borderId="23" xfId="0" applyNumberFormat="1" applyFont="1" applyBorder="1" applyAlignment="1">
      <alignment horizontal="center"/>
    </xf>
    <xf numFmtId="1" fontId="15" fillId="0" borderId="23" xfId="0" applyNumberFormat="1" applyFont="1" applyBorder="1" applyAlignment="1">
      <alignment horizontal="center"/>
    </xf>
    <xf numFmtId="0" fontId="12" fillId="0" borderId="0" xfId="0" applyFont="1" applyAlignment="1" applyProtection="1">
      <alignment horizontal="center"/>
      <protection locked="0"/>
    </xf>
    <xf numFmtId="9" fontId="12" fillId="0" borderId="0" xfId="0" applyNumberFormat="1" applyFont="1" applyAlignment="1">
      <alignment horizontal="center"/>
    </xf>
    <xf numFmtId="167" fontId="19" fillId="0" borderId="0" xfId="0" applyNumberFormat="1" applyFont="1" applyAlignment="1">
      <alignment horizontal="center"/>
    </xf>
    <xf numFmtId="169" fontId="14" fillId="0" borderId="0" xfId="3" applyNumberFormat="1" applyFont="1" applyBorder="1" applyAlignment="1" applyProtection="1">
      <alignment horizontal="center"/>
    </xf>
    <xf numFmtId="167" fontId="12" fillId="0" borderId="0" xfId="3" applyNumberFormat="1" applyFont="1" applyBorder="1" applyAlignment="1" applyProtection="1">
      <alignment horizontal="center"/>
    </xf>
    <xf numFmtId="167" fontId="14" fillId="0" borderId="0" xfId="2" applyNumberFormat="1" applyFont="1" applyAlignment="1">
      <alignment horizontal="center"/>
    </xf>
    <xf numFmtId="166" fontId="16" fillId="0" borderId="0" xfId="0" applyNumberFormat="1" applyFont="1" applyAlignment="1">
      <alignment horizontal="center"/>
    </xf>
    <xf numFmtId="17" fontId="12" fillId="0" borderId="0" xfId="0" applyNumberFormat="1" applyFont="1" applyAlignment="1">
      <alignment horizontal="center"/>
    </xf>
    <xf numFmtId="167" fontId="16" fillId="0" borderId="0" xfId="3" applyNumberFormat="1" applyFont="1" applyAlignment="1" applyProtection="1">
      <alignment horizontal="center"/>
    </xf>
    <xf numFmtId="0" fontId="12" fillId="0" borderId="0" xfId="0" applyFont="1" applyAlignment="1">
      <alignment wrapText="1"/>
    </xf>
    <xf numFmtId="20" fontId="12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172" fontId="16" fillId="0" borderId="0" xfId="0" applyNumberFormat="1" applyFont="1" applyAlignment="1">
      <alignment horizontal="center"/>
    </xf>
    <xf numFmtId="2" fontId="12" fillId="0" borderId="0" xfId="0" applyNumberFormat="1" applyFont="1" applyAlignment="1">
      <alignment horizontal="right"/>
    </xf>
    <xf numFmtId="166" fontId="12" fillId="0" borderId="0" xfId="0" applyNumberFormat="1" applyFont="1" applyAlignment="1">
      <alignment horizontal="right"/>
    </xf>
    <xf numFmtId="0" fontId="15" fillId="0" borderId="0" xfId="0" applyFont="1" applyAlignment="1">
      <alignment horizontal="center"/>
    </xf>
    <xf numFmtId="10" fontId="20" fillId="0" borderId="0" xfId="0" applyNumberFormat="1" applyFont="1" applyAlignment="1">
      <alignment horizontal="center"/>
    </xf>
    <xf numFmtId="166" fontId="21" fillId="0" borderId="0" xfId="0" applyNumberFormat="1" applyFont="1" applyAlignment="1">
      <alignment horizontal="center"/>
    </xf>
    <xf numFmtId="10" fontId="20" fillId="0" borderId="0" xfId="0" applyNumberFormat="1" applyFont="1" applyAlignment="1">
      <alignment horizontal="left"/>
    </xf>
    <xf numFmtId="0" fontId="22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2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4" xfId="0" applyNumberFormat="1" applyFont="1" applyFill="1" applyBorder="1" applyAlignment="1" applyProtection="1">
      <alignment horizontal="center" vertical="center"/>
      <protection locked="0"/>
    </xf>
    <xf numFmtId="166" fontId="12" fillId="2" borderId="34" xfId="0" applyNumberFormat="1" applyFont="1" applyFill="1" applyBorder="1" applyAlignment="1" applyProtection="1">
      <alignment horizontal="center" vertical="center"/>
      <protection locked="0"/>
    </xf>
    <xf numFmtId="2" fontId="12" fillId="2" borderId="34" xfId="0" applyNumberFormat="1" applyFont="1" applyFill="1" applyBorder="1" applyAlignment="1" applyProtection="1">
      <alignment horizontal="center" vertical="center"/>
      <protection locked="0"/>
    </xf>
    <xf numFmtId="2" fontId="12" fillId="2" borderId="35" xfId="0" applyNumberFormat="1" applyFont="1" applyFill="1" applyBorder="1" applyAlignment="1" applyProtection="1">
      <alignment horizontal="center" vertical="center"/>
      <protection locked="0"/>
    </xf>
    <xf numFmtId="167" fontId="13" fillId="0" borderId="0" xfId="3" applyNumberFormat="1" applyFont="1" applyAlignment="1" applyProtection="1">
      <alignment horizontal="center"/>
    </xf>
    <xf numFmtId="9" fontId="13" fillId="0" borderId="0" xfId="3" applyFont="1" applyAlignment="1" applyProtection="1">
      <alignment horizontal="center"/>
    </xf>
    <xf numFmtId="2" fontId="13" fillId="0" borderId="21" xfId="0" applyNumberFormat="1" applyFont="1" applyBorder="1" applyAlignment="1">
      <alignment horizontal="center"/>
    </xf>
    <xf numFmtId="9" fontId="13" fillId="0" borderId="0" xfId="3" applyFont="1" applyFill="1" applyBorder="1" applyAlignment="1" applyProtection="1">
      <alignment horizontal="center"/>
    </xf>
    <xf numFmtId="49" fontId="15" fillId="0" borderId="23" xfId="0" applyNumberFormat="1" applyFont="1" applyBorder="1" applyAlignment="1">
      <alignment horizontal="center"/>
    </xf>
    <xf numFmtId="0" fontId="12" fillId="0" borderId="0" xfId="0" applyFont="1" applyAlignment="1">
      <alignment horizontal="right" vertical="center"/>
    </xf>
    <xf numFmtId="176" fontId="12" fillId="2" borderId="19" xfId="0" applyNumberFormat="1" applyFont="1" applyFill="1" applyBorder="1" applyAlignment="1" applyProtection="1">
      <alignment horizontal="center"/>
      <protection locked="0"/>
    </xf>
    <xf numFmtId="166" fontId="16" fillId="0" borderId="0" xfId="3" applyNumberFormat="1" applyFont="1" applyAlignment="1" applyProtection="1">
      <alignment horizontal="center"/>
    </xf>
    <xf numFmtId="0" fontId="14" fillId="0" borderId="0" xfId="0" applyFont="1" applyAlignment="1">
      <alignment horizontal="right"/>
    </xf>
    <xf numFmtId="2" fontId="12" fillId="2" borderId="24" xfId="0" applyNumberFormat="1" applyFont="1" applyFill="1" applyBorder="1" applyAlignment="1" applyProtection="1">
      <alignment horizontal="center"/>
      <protection locked="0"/>
    </xf>
    <xf numFmtId="2" fontId="12" fillId="2" borderId="25" xfId="0" applyNumberFormat="1" applyFont="1" applyFill="1" applyBorder="1" applyAlignment="1" applyProtection="1">
      <alignment horizontal="center"/>
      <protection locked="0"/>
    </xf>
    <xf numFmtId="2" fontId="12" fillId="2" borderId="26" xfId="0" applyNumberFormat="1" applyFont="1" applyFill="1" applyBorder="1" applyAlignment="1" applyProtection="1">
      <alignment horizontal="center"/>
      <protection locked="0"/>
    </xf>
    <xf numFmtId="2" fontId="12" fillId="2" borderId="27" xfId="0" applyNumberFormat="1" applyFont="1" applyFill="1" applyBorder="1" applyAlignment="1" applyProtection="1">
      <alignment horizontal="center"/>
      <protection locked="0"/>
    </xf>
    <xf numFmtId="2" fontId="12" fillId="2" borderId="0" xfId="0" applyNumberFormat="1" applyFont="1" applyFill="1" applyAlignment="1" applyProtection="1">
      <alignment horizontal="center"/>
      <protection locked="0"/>
    </xf>
    <xf numFmtId="2" fontId="12" fillId="2" borderId="28" xfId="0" applyNumberFormat="1" applyFont="1" applyFill="1" applyBorder="1" applyAlignment="1" applyProtection="1">
      <alignment horizontal="center"/>
      <protection locked="0"/>
    </xf>
    <xf numFmtId="2" fontId="12" fillId="2" borderId="29" xfId="0" applyNumberFormat="1" applyFont="1" applyFill="1" applyBorder="1" applyAlignment="1" applyProtection="1">
      <alignment horizontal="center"/>
      <protection locked="0"/>
    </xf>
    <xf numFmtId="2" fontId="12" fillId="2" borderId="30" xfId="0" applyNumberFormat="1" applyFont="1" applyFill="1" applyBorder="1" applyAlignment="1" applyProtection="1">
      <alignment horizontal="center"/>
      <protection locked="0"/>
    </xf>
    <xf numFmtId="2" fontId="12" fillId="2" borderId="31" xfId="0" applyNumberFormat="1" applyFont="1" applyFill="1" applyBorder="1" applyAlignment="1" applyProtection="1">
      <alignment horizontal="center"/>
      <protection locked="0"/>
    </xf>
    <xf numFmtId="167" fontId="12" fillId="0" borderId="0" xfId="3" applyNumberFormat="1" applyFont="1" applyAlignment="1" applyProtection="1">
      <alignment horizontal="center"/>
    </xf>
    <xf numFmtId="9" fontId="12" fillId="0" borderId="0" xfId="3" applyFont="1" applyAlignment="1" applyProtection="1">
      <alignment horizontal="center"/>
    </xf>
    <xf numFmtId="10" fontId="14" fillId="0" borderId="0" xfId="2" applyNumberFormat="1" applyFont="1" applyAlignment="1">
      <alignment horizontal="right"/>
    </xf>
    <xf numFmtId="10" fontId="14" fillId="0" borderId="0" xfId="2" applyNumberFormat="1" applyFont="1" applyAlignment="1">
      <alignment horizontal="center"/>
    </xf>
    <xf numFmtId="167" fontId="14" fillId="0" borderId="0" xfId="3" applyNumberFormat="1" applyFont="1" applyAlignment="1" applyProtection="1">
      <alignment horizontal="center"/>
    </xf>
    <xf numFmtId="1" fontId="12" fillId="2" borderId="17" xfId="0" applyNumberFormat="1" applyFont="1" applyFill="1" applyBorder="1" applyAlignment="1" applyProtection="1">
      <alignment horizontal="center"/>
      <protection locked="0"/>
    </xf>
    <xf numFmtId="1" fontId="12" fillId="2" borderId="16" xfId="0" applyNumberFormat="1" applyFont="1" applyFill="1" applyBorder="1" applyAlignment="1" applyProtection="1">
      <alignment horizontal="center"/>
      <protection locked="0"/>
    </xf>
    <xf numFmtId="167" fontId="12" fillId="0" borderId="0" xfId="0" applyNumberFormat="1" applyFont="1" applyAlignment="1">
      <alignment horizontal="left"/>
    </xf>
    <xf numFmtId="1" fontId="12" fillId="2" borderId="19" xfId="0" applyNumberFormat="1" applyFont="1" applyFill="1" applyBorder="1" applyAlignment="1" applyProtection="1">
      <alignment horizontal="center"/>
      <protection locked="0"/>
    </xf>
    <xf numFmtId="0" fontId="17" fillId="0" borderId="18" xfId="0" applyFont="1" applyBorder="1" applyAlignment="1">
      <alignment horizontal="left"/>
    </xf>
    <xf numFmtId="168" fontId="13" fillId="0" borderId="18" xfId="0" applyNumberFormat="1" applyFont="1" applyBorder="1" applyAlignment="1">
      <alignment horizontal="center"/>
    </xf>
    <xf numFmtId="0" fontId="13" fillId="0" borderId="18" xfId="0" applyFont="1" applyBorder="1"/>
    <xf numFmtId="2" fontId="18" fillId="0" borderId="18" xfId="0" applyNumberFormat="1" applyFont="1" applyBorder="1" applyAlignment="1">
      <alignment horizontal="center"/>
    </xf>
    <xf numFmtId="1" fontId="18" fillId="0" borderId="18" xfId="0" applyNumberFormat="1" applyFont="1" applyBorder="1" applyAlignment="1">
      <alignment horizontal="center"/>
    </xf>
    <xf numFmtId="49" fontId="15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178" fontId="16" fillId="0" borderId="22" xfId="0" applyNumberFormat="1" applyFont="1" applyBorder="1" applyAlignment="1">
      <alignment horizontal="center"/>
    </xf>
    <xf numFmtId="167" fontId="13" fillId="0" borderId="8" xfId="3" applyNumberFormat="1" applyFont="1" applyBorder="1" applyAlignment="1" applyProtection="1">
      <alignment horizontal="center"/>
    </xf>
    <xf numFmtId="167" fontId="13" fillId="0" borderId="0" xfId="3" applyNumberFormat="1" applyFont="1" applyBorder="1" applyAlignment="1" applyProtection="1">
      <alignment horizontal="center"/>
    </xf>
    <xf numFmtId="167" fontId="13" fillId="0" borderId="9" xfId="3" applyNumberFormat="1" applyFont="1" applyBorder="1" applyAlignment="1" applyProtection="1">
      <alignment horizontal="center"/>
    </xf>
    <xf numFmtId="4" fontId="13" fillId="0" borderId="0" xfId="0" applyNumberFormat="1" applyFont="1" applyAlignment="1">
      <alignment horizontal="center"/>
    </xf>
    <xf numFmtId="4" fontId="13" fillId="0" borderId="9" xfId="0" applyNumberFormat="1" applyFont="1" applyBorder="1" applyAlignment="1">
      <alignment horizontal="center"/>
    </xf>
    <xf numFmtId="10" fontId="16" fillId="0" borderId="22" xfId="3" applyNumberFormat="1" applyFont="1" applyFill="1" applyBorder="1" applyAlignment="1" applyProtection="1">
      <alignment horizontal="center"/>
    </xf>
    <xf numFmtId="177" fontId="15" fillId="0" borderId="23" xfId="0" applyNumberFormat="1" applyFont="1" applyBorder="1" applyAlignment="1">
      <alignment horizontal="center"/>
    </xf>
    <xf numFmtId="165" fontId="13" fillId="0" borderId="0" xfId="4" applyFont="1" applyAlignment="1" applyProtection="1">
      <alignment horizontal="center"/>
    </xf>
    <xf numFmtId="3" fontId="12" fillId="2" borderId="19" xfId="0" applyNumberFormat="1" applyFont="1" applyFill="1" applyBorder="1" applyAlignment="1" applyProtection="1">
      <alignment horizontal="center"/>
      <protection locked="0"/>
    </xf>
    <xf numFmtId="0" fontId="13" fillId="0" borderId="0" xfId="0" applyFont="1" applyAlignment="1">
      <alignment horizontal="right"/>
    </xf>
    <xf numFmtId="0" fontId="12" fillId="0" borderId="12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3" borderId="17" xfId="0" applyFont="1" applyFill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3" fillId="3" borderId="15" xfId="0" applyFont="1" applyFill="1" applyBorder="1" applyAlignment="1" applyProtection="1">
      <alignment horizontal="center"/>
      <protection locked="0"/>
    </xf>
    <xf numFmtId="170" fontId="13" fillId="0" borderId="0" xfId="0" applyNumberFormat="1" applyFont="1" applyAlignment="1">
      <alignment horizontal="center"/>
    </xf>
    <xf numFmtId="10" fontId="13" fillId="0" borderId="2" xfId="0" applyNumberFormat="1" applyFont="1" applyBorder="1" applyAlignment="1">
      <alignment horizontal="center"/>
    </xf>
    <xf numFmtId="0" fontId="13" fillId="0" borderId="1" xfId="0" applyFont="1" applyBorder="1" applyAlignment="1">
      <alignment wrapText="1"/>
    </xf>
    <xf numFmtId="0" fontId="13" fillId="3" borderId="16" xfId="0" applyFont="1" applyFill="1" applyBorder="1" applyAlignment="1" applyProtection="1">
      <alignment horizontal="center"/>
      <protection locked="0"/>
    </xf>
    <xf numFmtId="0" fontId="12" fillId="0" borderId="3" xfId="0" applyFont="1" applyBorder="1"/>
    <xf numFmtId="0" fontId="12" fillId="0" borderId="20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10" fontId="12" fillId="0" borderId="4" xfId="0" applyNumberFormat="1" applyFont="1" applyBorder="1"/>
    <xf numFmtId="171" fontId="12" fillId="0" borderId="4" xfId="0" applyNumberFormat="1" applyFont="1" applyBorder="1" applyAlignment="1">
      <alignment horizontal="center"/>
    </xf>
    <xf numFmtId="170" fontId="12" fillId="0" borderId="4" xfId="0" applyNumberFormat="1" applyFont="1" applyBorder="1" applyAlignment="1">
      <alignment horizontal="center"/>
    </xf>
    <xf numFmtId="10" fontId="12" fillId="0" borderId="5" xfId="0" applyNumberFormat="1" applyFont="1" applyBorder="1" applyAlignment="1">
      <alignment horizontal="center"/>
    </xf>
    <xf numFmtId="0" fontId="12" fillId="0" borderId="1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6" fillId="0" borderId="0" xfId="2" applyFont="1" applyAlignment="1">
      <alignment horizontal="center"/>
    </xf>
    <xf numFmtId="167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171" fontId="1" fillId="0" borderId="0" xfId="0" applyNumberFormat="1" applyFont="1" applyAlignment="1">
      <alignment horizontal="center"/>
    </xf>
    <xf numFmtId="9" fontId="2" fillId="0" borderId="0" xfId="3" applyFont="1" applyAlignment="1">
      <alignment horizontal="center"/>
    </xf>
    <xf numFmtId="167" fontId="2" fillId="0" borderId="0" xfId="3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77" fontId="2" fillId="0" borderId="0" xfId="0" applyNumberFormat="1" applyFont="1" applyAlignment="1">
      <alignment horizontal="center"/>
    </xf>
    <xf numFmtId="0" fontId="2" fillId="0" borderId="0" xfId="0" applyFont="1" applyAlignment="1" applyProtection="1">
      <alignment horizontal="center"/>
      <protection locked="0"/>
    </xf>
  </cellXfs>
  <cellStyles count="5">
    <cellStyle name="Moeda" xfId="1" builtinId="4"/>
    <cellStyle name="Normal" xfId="0" builtinId="0"/>
    <cellStyle name="Normal 2" xfId="2" xr:uid="{00000000-0005-0000-0000-000002000000}"/>
    <cellStyle name="Porcentagem" xfId="3" builtinId="5"/>
    <cellStyle name="Vírgula" xfId="4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icardo Melo" id="{A19F852B-9711-4047-A6CC-BBE2967B8797}" userId="e8a634522dc36316" providerId="Windows Live"/>
</personList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7" dT="2023-04-12T17:34:52.24" personId="{A19F852B-9711-4047-A6CC-BBE2967B8797}" id="{AD521DDD-4FDA-479D-A87B-C775F6E126E7}">
    <text>Atenção para a unidade do rótulo. Caso tenha algum nutriente com unidade diferente, exemplo: P em mg ao invés de g. Tem que converter mg para g para utilizar os cálculos da planilha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EN99"/>
  <sheetViews>
    <sheetView showGridLines="0" zoomScaleNormal="100" workbookViewId="0">
      <pane xSplit="1" ySplit="2" topLeftCell="B57" activePane="bottomRight" state="frozen"/>
      <selection pane="topRight" activeCell="B1" sqref="B1"/>
      <selection pane="bottomLeft" activeCell="A3" sqref="A3"/>
      <selection pane="bottomRight" activeCell="F2" sqref="F2"/>
    </sheetView>
  </sheetViews>
  <sheetFormatPr defaultRowHeight="12.75" x14ac:dyDescent="0.2"/>
  <cols>
    <col min="1" max="1" width="40.28515625" customWidth="1"/>
    <col min="2" max="2" width="9.140625" style="4"/>
    <col min="3" max="3" width="12.85546875" style="4" bestFit="1" customWidth="1"/>
    <col min="4" max="4" width="4.5703125" style="1" customWidth="1"/>
    <col min="5" max="14" width="9.140625" style="59" customWidth="1"/>
    <col min="15" max="15" width="9.140625" style="60" customWidth="1"/>
    <col min="16" max="16" width="9.28515625" style="59" customWidth="1"/>
    <col min="17" max="21" width="9.140625" style="59" customWidth="1"/>
    <col min="22" max="22" width="9.5703125" style="59" customWidth="1"/>
    <col min="23" max="24" width="9.140625" style="55" customWidth="1"/>
    <col min="25" max="31" width="9.140625" style="55"/>
    <col min="32" max="32" width="9.28515625" style="56" bestFit="1" customWidth="1"/>
    <col min="33" max="33" width="10.140625" style="56" customWidth="1"/>
    <col min="34" max="34" width="9.28515625" style="56" bestFit="1" customWidth="1"/>
    <col min="35" max="35" width="13.85546875" style="56" customWidth="1"/>
    <col min="36" max="36" width="9.28515625" style="56" bestFit="1" customWidth="1"/>
    <col min="37" max="37" width="10.28515625" style="56" customWidth="1"/>
    <col min="38" max="38" width="10.5703125" style="56" customWidth="1"/>
    <col min="39" max="39" width="12.85546875" style="56" customWidth="1"/>
    <col min="40" max="40" width="13.42578125" style="56" customWidth="1"/>
    <col min="41" max="41" width="11.140625" style="56" customWidth="1"/>
    <col min="42" max="42" width="9.28515625" style="56" bestFit="1" customWidth="1"/>
    <col min="43" max="43" width="11.42578125" style="56" bestFit="1" customWidth="1"/>
    <col min="44" max="44" width="11" style="56" bestFit="1" customWidth="1"/>
    <col min="45" max="45" width="10" style="25" bestFit="1" customWidth="1"/>
    <col min="46" max="48" width="10.5703125" style="25" hidden="1" customWidth="1"/>
    <col min="49" max="49" width="20.85546875" style="25" hidden="1" customWidth="1"/>
    <col min="50" max="50" width="11" style="25" hidden="1" customWidth="1"/>
    <col min="51" max="51" width="14.85546875" style="25" hidden="1" customWidth="1"/>
    <col min="52" max="52" width="16" style="25" hidden="1" customWidth="1"/>
    <col min="53" max="53" width="15.140625" style="25" hidden="1" customWidth="1"/>
    <col min="54" max="54" width="11.85546875" style="25" hidden="1" customWidth="1"/>
    <col min="55" max="55" width="11.140625" style="25" hidden="1" customWidth="1"/>
    <col min="56" max="56" width="12.42578125" bestFit="1" customWidth="1"/>
  </cols>
  <sheetData>
    <row r="1" spans="1:55" s="3" customFormat="1" x14ac:dyDescent="0.2">
      <c r="A1" s="3" t="s">
        <v>1</v>
      </c>
      <c r="B1" s="6" t="s">
        <v>65</v>
      </c>
      <c r="C1" s="6"/>
      <c r="D1" s="2"/>
      <c r="E1" s="31" t="s">
        <v>2</v>
      </c>
      <c r="F1" s="31" t="s">
        <v>3</v>
      </c>
      <c r="G1" s="31" t="s">
        <v>3</v>
      </c>
      <c r="H1" s="31" t="s">
        <v>3</v>
      </c>
      <c r="I1" s="31" t="s">
        <v>3</v>
      </c>
      <c r="J1" s="32" t="s">
        <v>3</v>
      </c>
      <c r="K1" s="32" t="s">
        <v>109</v>
      </c>
      <c r="L1" s="32" t="s">
        <v>109</v>
      </c>
      <c r="M1" s="31" t="s">
        <v>3</v>
      </c>
      <c r="N1" s="31" t="s">
        <v>3</v>
      </c>
      <c r="O1" s="33" t="s">
        <v>4</v>
      </c>
      <c r="P1" s="31" t="s">
        <v>3</v>
      </c>
      <c r="Q1" s="31" t="s">
        <v>3</v>
      </c>
      <c r="R1" s="32" t="s">
        <v>3</v>
      </c>
      <c r="S1" s="31" t="s">
        <v>3</v>
      </c>
      <c r="T1" s="31" t="s">
        <v>3</v>
      </c>
      <c r="U1" s="32" t="s">
        <v>3</v>
      </c>
      <c r="V1" s="32" t="s">
        <v>100</v>
      </c>
      <c r="W1" s="34" t="s">
        <v>3</v>
      </c>
      <c r="X1" s="34" t="s">
        <v>3</v>
      </c>
      <c r="Y1" s="34" t="s">
        <v>3</v>
      </c>
      <c r="Z1" s="34" t="s">
        <v>3</v>
      </c>
      <c r="AA1" s="34" t="s">
        <v>3</v>
      </c>
      <c r="AB1" s="34" t="s">
        <v>3</v>
      </c>
      <c r="AC1" s="34" t="s">
        <v>3</v>
      </c>
      <c r="AD1" s="34" t="s">
        <v>3</v>
      </c>
      <c r="AE1" s="34" t="s">
        <v>3</v>
      </c>
      <c r="AF1" s="35" t="s">
        <v>34</v>
      </c>
      <c r="AG1" s="35" t="s">
        <v>34</v>
      </c>
      <c r="AH1" s="35" t="s">
        <v>34</v>
      </c>
      <c r="AI1" s="35" t="s">
        <v>34</v>
      </c>
      <c r="AJ1" s="35" t="s">
        <v>34</v>
      </c>
      <c r="AK1" s="35" t="s">
        <v>34</v>
      </c>
      <c r="AL1" s="35" t="s">
        <v>34</v>
      </c>
      <c r="AM1" s="36" t="s">
        <v>36</v>
      </c>
      <c r="AN1" s="36" t="s">
        <v>36</v>
      </c>
      <c r="AO1" s="36" t="s">
        <v>36</v>
      </c>
      <c r="AP1" s="35" t="s">
        <v>34</v>
      </c>
      <c r="AQ1" s="35" t="s">
        <v>34</v>
      </c>
      <c r="AR1" s="35" t="s">
        <v>34</v>
      </c>
      <c r="AS1" s="37" t="s">
        <v>172</v>
      </c>
      <c r="AT1" s="37" t="s">
        <v>228</v>
      </c>
      <c r="AU1" s="37" t="s">
        <v>230</v>
      </c>
      <c r="AV1" s="37" t="s">
        <v>231</v>
      </c>
      <c r="AW1" s="37" t="s">
        <v>227</v>
      </c>
      <c r="AX1" s="37" t="s">
        <v>232</v>
      </c>
      <c r="AY1" s="37" t="s">
        <v>234</v>
      </c>
      <c r="AZ1" s="37" t="s">
        <v>235</v>
      </c>
      <c r="BA1" s="37" t="s">
        <v>236</v>
      </c>
      <c r="BB1" s="37" t="s">
        <v>247</v>
      </c>
      <c r="BC1" s="37" t="s">
        <v>248</v>
      </c>
    </row>
    <row r="2" spans="1:55" s="3" customFormat="1" x14ac:dyDescent="0.2">
      <c r="A2" s="3" t="s">
        <v>64</v>
      </c>
      <c r="B2" s="7" t="s">
        <v>6</v>
      </c>
      <c r="C2" s="7" t="s">
        <v>216</v>
      </c>
      <c r="D2" s="2" t="s">
        <v>53</v>
      </c>
      <c r="E2" s="64" t="s">
        <v>7</v>
      </c>
      <c r="F2" s="64" t="s">
        <v>8</v>
      </c>
      <c r="G2" s="31" t="s">
        <v>9</v>
      </c>
      <c r="H2" s="38" t="s">
        <v>67</v>
      </c>
      <c r="I2" s="64" t="s">
        <v>10</v>
      </c>
      <c r="J2" s="32" t="s">
        <v>11</v>
      </c>
      <c r="K2" s="65" t="s">
        <v>110</v>
      </c>
      <c r="L2" s="65" t="s">
        <v>111</v>
      </c>
      <c r="M2" s="31" t="s">
        <v>12</v>
      </c>
      <c r="N2" s="64" t="s">
        <v>13</v>
      </c>
      <c r="O2" s="33" t="s">
        <v>14</v>
      </c>
      <c r="P2" s="64" t="s">
        <v>15</v>
      </c>
      <c r="Q2" s="64" t="s">
        <v>115</v>
      </c>
      <c r="R2" s="32" t="s">
        <v>114</v>
      </c>
      <c r="S2" s="64" t="s">
        <v>17</v>
      </c>
      <c r="T2" s="31" t="s">
        <v>18</v>
      </c>
      <c r="U2" s="66" t="s">
        <v>99</v>
      </c>
      <c r="V2" s="65" t="s">
        <v>101</v>
      </c>
      <c r="W2" s="67" t="s">
        <v>19</v>
      </c>
      <c r="X2" s="67" t="s">
        <v>20</v>
      </c>
      <c r="Y2" s="67" t="s">
        <v>21</v>
      </c>
      <c r="Z2" s="67" t="s">
        <v>22</v>
      </c>
      <c r="AA2" s="67" t="s">
        <v>23</v>
      </c>
      <c r="AB2" s="67" t="s">
        <v>24</v>
      </c>
      <c r="AC2" s="67" t="s">
        <v>25</v>
      </c>
      <c r="AD2" s="67" t="s">
        <v>26</v>
      </c>
      <c r="AE2" s="67" t="s">
        <v>27</v>
      </c>
      <c r="AF2" s="68" t="s">
        <v>37</v>
      </c>
      <c r="AG2" s="68" t="s">
        <v>38</v>
      </c>
      <c r="AH2" s="68" t="s">
        <v>41</v>
      </c>
      <c r="AI2" s="68" t="s">
        <v>43</v>
      </c>
      <c r="AJ2" s="68" t="s">
        <v>42</v>
      </c>
      <c r="AK2" s="68" t="s">
        <v>40</v>
      </c>
      <c r="AL2" s="68" t="s">
        <v>39</v>
      </c>
      <c r="AM2" s="68" t="s">
        <v>44</v>
      </c>
      <c r="AN2" s="68" t="s">
        <v>45</v>
      </c>
      <c r="AO2" s="68" t="s">
        <v>46</v>
      </c>
      <c r="AP2" s="68" t="s">
        <v>47</v>
      </c>
      <c r="AQ2" s="68" t="s">
        <v>48</v>
      </c>
      <c r="AR2" s="69" t="s">
        <v>170</v>
      </c>
      <c r="AS2" s="70" t="s">
        <v>171</v>
      </c>
      <c r="AT2" s="37" t="s">
        <v>229</v>
      </c>
      <c r="AU2" s="37" t="s">
        <v>229</v>
      </c>
      <c r="AV2" s="37" t="s">
        <v>229</v>
      </c>
      <c r="AW2" s="37" t="s">
        <v>100</v>
      </c>
      <c r="AX2" s="37" t="s">
        <v>233</v>
      </c>
      <c r="AY2" s="37" t="s">
        <v>233</v>
      </c>
      <c r="AZ2" s="37" t="s">
        <v>233</v>
      </c>
      <c r="BA2" s="37" t="s">
        <v>233</v>
      </c>
      <c r="BB2" s="37" t="s">
        <v>229</v>
      </c>
      <c r="BC2" s="37" t="s">
        <v>229</v>
      </c>
    </row>
    <row r="3" spans="1:55" s="10" customFormat="1" x14ac:dyDescent="0.2">
      <c r="A3" s="19" t="s">
        <v>217</v>
      </c>
      <c r="B3" s="9"/>
      <c r="C3" s="23" t="s">
        <v>220</v>
      </c>
      <c r="D3" s="12" t="s">
        <v>177</v>
      </c>
      <c r="E3" s="22">
        <v>0.92</v>
      </c>
      <c r="F3" s="15">
        <v>0.129</v>
      </c>
      <c r="G3" s="13">
        <f t="shared" ref="G3:G23" si="0">F3-H3</f>
        <v>0.1032</v>
      </c>
      <c r="H3" s="13">
        <f>F3*0.2</f>
        <v>2.5800000000000003E-2</v>
      </c>
      <c r="I3" s="13">
        <v>0.314</v>
      </c>
      <c r="J3" s="15">
        <f t="shared" ref="J3:J46" si="1">(I3*K3)+(I3*(1-K3)*0.33)</f>
        <v>0.10362</v>
      </c>
      <c r="K3" s="13">
        <v>0</v>
      </c>
      <c r="L3" s="13">
        <v>0</v>
      </c>
      <c r="M3" s="13">
        <f>IF(D3="C", 0,I3)</f>
        <v>0</v>
      </c>
      <c r="N3" s="15">
        <v>0.16500000000000001</v>
      </c>
      <c r="O3" s="16">
        <f t="shared" ref="O3:O23" si="2">(0.0245*P3*100)-0.12</f>
        <v>1.7665000000000002</v>
      </c>
      <c r="P3" s="13">
        <v>0.77</v>
      </c>
      <c r="Q3" s="15">
        <v>5.8000000000000003E-2</v>
      </c>
      <c r="R3" s="15">
        <f>Q3*0.835*(34.8+42+1.8)/100</f>
        <v>3.8065979999999999E-2</v>
      </c>
      <c r="S3" s="15">
        <v>3.3000000000000002E-2</v>
      </c>
      <c r="T3" s="15">
        <f t="shared" ref="T3:T25" si="3">1-(I3+Q3+S3+F3)</f>
        <v>0.46599999999999997</v>
      </c>
      <c r="U3" s="15">
        <v>0.40799999999999997</v>
      </c>
      <c r="V3" s="15">
        <v>0.2</v>
      </c>
      <c r="W3" s="22"/>
      <c r="X3" s="22"/>
      <c r="Y3" s="15">
        <v>1.1000000000000001E-3</v>
      </c>
      <c r="Z3" s="15">
        <v>4.0000000000000001E-3</v>
      </c>
      <c r="AA3" s="15">
        <v>1.6000000000000001E-3</v>
      </c>
      <c r="AB3" s="15">
        <v>5.1999999999999998E-3</v>
      </c>
      <c r="AC3" s="15">
        <v>1.9E-3</v>
      </c>
      <c r="AD3" s="15">
        <v>2.9999999999999997E-4</v>
      </c>
      <c r="AE3" s="15">
        <v>0</v>
      </c>
      <c r="AF3" s="17">
        <v>0.06</v>
      </c>
      <c r="AG3" s="17">
        <v>8</v>
      </c>
      <c r="AH3" s="17">
        <v>43</v>
      </c>
      <c r="AI3" s="17">
        <v>41</v>
      </c>
      <c r="AJ3" s="17">
        <v>0.48</v>
      </c>
      <c r="AK3" s="17"/>
      <c r="AL3" s="17"/>
      <c r="AM3" s="17"/>
      <c r="AN3" s="17"/>
      <c r="AO3" s="46"/>
      <c r="AP3" s="39"/>
      <c r="AQ3" s="39"/>
      <c r="AR3" s="39"/>
      <c r="AS3" s="30"/>
      <c r="AT3" s="29">
        <v>0.65200000000000002</v>
      </c>
      <c r="AU3" s="29">
        <v>0.28799999999999998</v>
      </c>
      <c r="AV3" s="29">
        <v>0.06</v>
      </c>
      <c r="AW3" s="29">
        <v>0.17399999999999999</v>
      </c>
      <c r="AX3" s="29">
        <v>0.75</v>
      </c>
      <c r="AY3" s="61">
        <v>1</v>
      </c>
      <c r="AZ3" s="61">
        <v>0.4</v>
      </c>
      <c r="BA3" s="61">
        <v>1</v>
      </c>
      <c r="BB3" s="30"/>
      <c r="BC3" s="30"/>
    </row>
    <row r="4" spans="1:55" s="10" customFormat="1" x14ac:dyDescent="0.2">
      <c r="A4" s="19" t="s">
        <v>218</v>
      </c>
      <c r="B4" s="9"/>
      <c r="C4" s="23" t="s">
        <v>220</v>
      </c>
      <c r="D4" s="12" t="s">
        <v>177</v>
      </c>
      <c r="E4" s="22">
        <v>0.92</v>
      </c>
      <c r="F4" s="15">
        <v>0.129</v>
      </c>
      <c r="G4" s="13">
        <f t="shared" si="0"/>
        <v>0.1032</v>
      </c>
      <c r="H4" s="13">
        <f>F4*0.2</f>
        <v>2.5800000000000003E-2</v>
      </c>
      <c r="I4" s="13">
        <v>0.314</v>
      </c>
      <c r="J4" s="15">
        <f>(I4*K4)+(I4*(1-K4)*0.33)</f>
        <v>0.10362</v>
      </c>
      <c r="K4" s="13">
        <v>0</v>
      </c>
      <c r="L4" s="13">
        <v>0</v>
      </c>
      <c r="M4" s="13">
        <f t="shared" ref="M4:M70" si="4">IF(D4="C", 0,I4)</f>
        <v>0</v>
      </c>
      <c r="N4" s="15">
        <v>0.16500000000000001</v>
      </c>
      <c r="O4" s="16">
        <f t="shared" si="2"/>
        <v>1.7665000000000002</v>
      </c>
      <c r="P4" s="13">
        <v>0.77</v>
      </c>
      <c r="Q4" s="15">
        <v>5.8000000000000003E-2</v>
      </c>
      <c r="R4" s="15">
        <f>Q4*0.835*(34.8+42+1.8)/100</f>
        <v>3.8065979999999999E-2</v>
      </c>
      <c r="S4" s="15">
        <v>3.3000000000000002E-2</v>
      </c>
      <c r="T4" s="15">
        <f t="shared" si="3"/>
        <v>0.46599999999999997</v>
      </c>
      <c r="U4" s="15">
        <v>0.40799999999999997</v>
      </c>
      <c r="V4" s="15">
        <v>0.2</v>
      </c>
      <c r="W4" s="22"/>
      <c r="X4" s="22"/>
      <c r="Y4" s="15">
        <v>1.1000000000000001E-3</v>
      </c>
      <c r="Z4" s="15">
        <v>4.0000000000000001E-3</v>
      </c>
      <c r="AA4" s="15">
        <v>1.6000000000000001E-3</v>
      </c>
      <c r="AB4" s="15">
        <v>5.1999999999999998E-3</v>
      </c>
      <c r="AC4" s="15">
        <v>1.9E-3</v>
      </c>
      <c r="AD4" s="15">
        <v>2.9999999999999997E-4</v>
      </c>
      <c r="AE4" s="15">
        <v>0</v>
      </c>
      <c r="AF4" s="17">
        <v>0.06</v>
      </c>
      <c r="AG4" s="17">
        <v>8</v>
      </c>
      <c r="AH4" s="17">
        <v>43</v>
      </c>
      <c r="AI4" s="17">
        <v>41</v>
      </c>
      <c r="AJ4" s="17">
        <v>0.48</v>
      </c>
      <c r="AK4" s="40"/>
      <c r="AL4" s="40"/>
      <c r="AM4" s="40"/>
      <c r="AN4" s="40"/>
      <c r="AO4" s="57"/>
      <c r="AP4" s="41"/>
      <c r="AQ4" s="41"/>
      <c r="AR4" s="41"/>
      <c r="AS4" s="30"/>
      <c r="AT4" s="29">
        <v>0.65200000000000002</v>
      </c>
      <c r="AU4" s="29">
        <v>0.28799999999999998</v>
      </c>
      <c r="AV4" s="29">
        <v>0.06</v>
      </c>
      <c r="AW4" s="29">
        <v>0.17399999999999999</v>
      </c>
      <c r="AX4" s="29">
        <v>0.75</v>
      </c>
      <c r="AY4" s="61">
        <v>1</v>
      </c>
      <c r="AZ4" s="61">
        <v>0.4</v>
      </c>
      <c r="BA4" s="61">
        <v>1</v>
      </c>
      <c r="BB4" s="30"/>
      <c r="BC4" s="30"/>
    </row>
    <row r="5" spans="1:55" s="10" customFormat="1" x14ac:dyDescent="0.2">
      <c r="A5" s="11" t="s">
        <v>136</v>
      </c>
      <c r="B5" s="9"/>
      <c r="C5" s="23" t="s">
        <v>220</v>
      </c>
      <c r="D5" s="12" t="s">
        <v>177</v>
      </c>
      <c r="E5" s="13">
        <v>0.88</v>
      </c>
      <c r="F5" s="13">
        <v>0.125</v>
      </c>
      <c r="G5" s="13">
        <f t="shared" si="0"/>
        <v>9.1249999999999998E-2</v>
      </c>
      <c r="H5" s="13">
        <f>F5*0.27</f>
        <v>3.3750000000000002E-2</v>
      </c>
      <c r="I5" s="13">
        <v>0.22</v>
      </c>
      <c r="J5" s="15">
        <f t="shared" si="1"/>
        <v>7.2599999999999998E-2</v>
      </c>
      <c r="K5" s="13"/>
      <c r="L5" s="13"/>
      <c r="M5" s="13">
        <f t="shared" si="4"/>
        <v>0</v>
      </c>
      <c r="N5" s="13">
        <v>7.8E-2</v>
      </c>
      <c r="O5" s="16">
        <f t="shared" si="2"/>
        <v>1.9380000000000002</v>
      </c>
      <c r="P5" s="13">
        <v>0.84</v>
      </c>
      <c r="Q5" s="13">
        <v>2.5999999999999999E-2</v>
      </c>
      <c r="R5" s="15">
        <f>Q5*0.761*(0+13.5+55.9+4.3)/100</f>
        <v>1.4582282E-2</v>
      </c>
      <c r="S5" s="13">
        <v>2.9000000000000001E-2</v>
      </c>
      <c r="T5" s="15">
        <f t="shared" si="3"/>
        <v>0.6</v>
      </c>
      <c r="U5" s="13">
        <v>0.52300000000000002</v>
      </c>
      <c r="V5" s="13">
        <v>0.35</v>
      </c>
      <c r="W5" s="42"/>
      <c r="X5" s="42"/>
      <c r="Y5" s="13">
        <v>5.9999999999999995E-4</v>
      </c>
      <c r="Z5" s="13">
        <v>3.8999999999999998E-3</v>
      </c>
      <c r="AA5" s="13">
        <v>1.4E-3</v>
      </c>
      <c r="AB5" s="13">
        <v>5.5999999999999999E-3</v>
      </c>
      <c r="AC5" s="13">
        <v>1.1999999999999999E-3</v>
      </c>
      <c r="AD5" s="13">
        <v>2.0000000000000001E-4</v>
      </c>
      <c r="AE5" s="15">
        <v>1.2999999999999999E-3</v>
      </c>
      <c r="AF5" s="17">
        <v>0.35</v>
      </c>
      <c r="AG5" s="18">
        <v>6</v>
      </c>
      <c r="AH5" s="18">
        <v>22</v>
      </c>
      <c r="AI5" s="18">
        <v>38</v>
      </c>
      <c r="AJ5" s="18">
        <v>0.11</v>
      </c>
      <c r="AK5" s="40"/>
      <c r="AL5" s="40"/>
      <c r="AM5" s="40"/>
      <c r="AN5" s="40"/>
      <c r="AO5" s="40"/>
      <c r="AP5" s="43"/>
      <c r="AQ5" s="43"/>
      <c r="AR5" s="43"/>
      <c r="AS5" s="30"/>
      <c r="AT5" s="29">
        <v>0.30199999999999999</v>
      </c>
      <c r="AU5" s="29">
        <v>0.61199999999999999</v>
      </c>
      <c r="AV5" s="29">
        <v>8.5999999999999993E-2</v>
      </c>
      <c r="AW5" s="29">
        <v>0.22700000000000001</v>
      </c>
      <c r="AX5" s="29">
        <v>0.85</v>
      </c>
      <c r="AY5" s="61">
        <v>1</v>
      </c>
      <c r="AZ5" s="61">
        <v>0.48</v>
      </c>
      <c r="BA5" s="61">
        <v>1</v>
      </c>
      <c r="BB5" s="30"/>
      <c r="BC5" s="30"/>
    </row>
    <row r="6" spans="1:55" s="10" customFormat="1" x14ac:dyDescent="0.2">
      <c r="A6" s="8" t="s">
        <v>89</v>
      </c>
      <c r="B6" s="9"/>
      <c r="C6" s="23" t="s">
        <v>220</v>
      </c>
      <c r="D6" s="5" t="s">
        <v>177</v>
      </c>
      <c r="E6" s="13">
        <v>0.91</v>
      </c>
      <c r="F6" s="13">
        <v>0.14000000000000001</v>
      </c>
      <c r="G6" s="13">
        <f t="shared" si="0"/>
        <v>0.10500000000000001</v>
      </c>
      <c r="H6" s="13">
        <f>F6*0.25</f>
        <v>3.5000000000000003E-2</v>
      </c>
      <c r="I6" s="13">
        <v>0.30099999999999999</v>
      </c>
      <c r="J6" s="15">
        <f t="shared" si="1"/>
        <v>9.9330000000000002E-2</v>
      </c>
      <c r="K6" s="13"/>
      <c r="L6" s="13"/>
      <c r="M6" s="13">
        <f t="shared" si="4"/>
        <v>0</v>
      </c>
      <c r="N6" s="13">
        <v>0.17299999999999999</v>
      </c>
      <c r="O6" s="16">
        <f t="shared" si="2"/>
        <v>1.5949999999999998</v>
      </c>
      <c r="P6" s="13">
        <v>0.7</v>
      </c>
      <c r="Q6" s="13">
        <v>0.14099999999999999</v>
      </c>
      <c r="R6" s="13">
        <f>Q6*0.85*(39.1+38.1+1.5)/100</f>
        <v>9.4321949999999988E-2</v>
      </c>
      <c r="S6" s="13">
        <v>0.104</v>
      </c>
      <c r="T6" s="15">
        <f t="shared" si="3"/>
        <v>0.31400000000000006</v>
      </c>
      <c r="U6" s="13">
        <v>0.249</v>
      </c>
      <c r="V6" s="13">
        <v>0.4</v>
      </c>
      <c r="W6" s="42"/>
      <c r="X6" s="42"/>
      <c r="Y6" s="13">
        <v>6.9999999999999999E-4</v>
      </c>
      <c r="Z6" s="13">
        <v>1.78E-2</v>
      </c>
      <c r="AA6" s="13">
        <v>8.0999999999999996E-3</v>
      </c>
      <c r="AB6" s="13">
        <v>1.5699999999999999E-2</v>
      </c>
      <c r="AC6" s="13">
        <v>1.9E-3</v>
      </c>
      <c r="AD6" s="13">
        <v>2.9999999999999997E-4</v>
      </c>
      <c r="AE6" s="15">
        <v>8.9999999999999998E-4</v>
      </c>
      <c r="AF6" s="17"/>
      <c r="AG6" s="18">
        <v>10</v>
      </c>
      <c r="AH6" s="18">
        <v>186</v>
      </c>
      <c r="AI6" s="18">
        <v>71</v>
      </c>
      <c r="AJ6" s="18">
        <v>0.17</v>
      </c>
      <c r="AK6" s="17"/>
      <c r="AL6" s="17"/>
      <c r="AM6" s="17"/>
      <c r="AN6" s="17"/>
      <c r="AO6" s="44"/>
      <c r="AP6" s="44"/>
      <c r="AQ6" s="44"/>
      <c r="AR6" s="44"/>
      <c r="AS6" s="30"/>
      <c r="AT6" s="29">
        <v>0.32600000000000001</v>
      </c>
      <c r="AU6" s="29">
        <v>0.49</v>
      </c>
      <c r="AV6" s="29">
        <v>0.184</v>
      </c>
      <c r="AW6" s="29">
        <v>0.05</v>
      </c>
      <c r="AX6" s="29">
        <v>0.65</v>
      </c>
      <c r="AY6" s="61">
        <v>1</v>
      </c>
      <c r="AZ6" s="61">
        <v>0.33</v>
      </c>
      <c r="BA6" s="61">
        <v>1</v>
      </c>
      <c r="BB6" s="30"/>
      <c r="BC6" s="30"/>
    </row>
    <row r="7" spans="1:55" s="10" customFormat="1" x14ac:dyDescent="0.2">
      <c r="A7" s="19" t="s">
        <v>82</v>
      </c>
      <c r="B7" s="9"/>
      <c r="C7" s="23" t="s">
        <v>220</v>
      </c>
      <c r="D7" s="12" t="s">
        <v>177</v>
      </c>
      <c r="E7" s="13">
        <v>0.73</v>
      </c>
      <c r="F7" s="13">
        <v>5.8000000000000003E-2</v>
      </c>
      <c r="G7" s="13">
        <f t="shared" si="0"/>
        <v>5.8000000000000003E-2</v>
      </c>
      <c r="H7" s="13"/>
      <c r="I7" s="13"/>
      <c r="J7" s="15">
        <f t="shared" si="1"/>
        <v>0</v>
      </c>
      <c r="K7" s="13"/>
      <c r="L7" s="13"/>
      <c r="M7" s="13">
        <f t="shared" si="4"/>
        <v>0</v>
      </c>
      <c r="N7" s="13"/>
      <c r="O7" s="16">
        <f t="shared" si="2"/>
        <v>1.6440000000000001</v>
      </c>
      <c r="P7" s="13">
        <v>0.72</v>
      </c>
      <c r="Q7" s="13">
        <v>0.01</v>
      </c>
      <c r="R7" s="15">
        <f>Q7*0.615*(13+54.9+7.5)/100</f>
        <v>4.6371000000000008E-3</v>
      </c>
      <c r="S7" s="13">
        <v>0.13300000000000001</v>
      </c>
      <c r="T7" s="15">
        <f t="shared" si="3"/>
        <v>0.79899999999999993</v>
      </c>
      <c r="U7" s="13"/>
      <c r="V7" s="13"/>
      <c r="W7" s="45"/>
      <c r="X7" s="45"/>
      <c r="Y7" s="13">
        <v>0.01</v>
      </c>
      <c r="Z7" s="13">
        <v>1E-3</v>
      </c>
      <c r="AA7" s="13">
        <v>4.1999999999999997E-3</v>
      </c>
      <c r="AB7" s="13">
        <v>4.0099999999999997E-2</v>
      </c>
      <c r="AC7" s="13">
        <v>4.7000000000000002E-3</v>
      </c>
      <c r="AD7" s="13">
        <v>2.2000000000000001E-3</v>
      </c>
      <c r="AE7" s="13">
        <v>0</v>
      </c>
      <c r="AF7" s="18"/>
      <c r="AG7" s="18">
        <v>66</v>
      </c>
      <c r="AH7" s="18">
        <v>59</v>
      </c>
      <c r="AI7" s="18">
        <v>21</v>
      </c>
      <c r="AJ7" s="18"/>
      <c r="AK7" s="18"/>
      <c r="AL7" s="18"/>
      <c r="AM7" s="18"/>
      <c r="AN7" s="18"/>
      <c r="AO7" s="17"/>
      <c r="AP7" s="17"/>
      <c r="AQ7" s="17"/>
      <c r="AR7" s="17"/>
      <c r="AS7" s="30"/>
      <c r="AT7" s="29"/>
      <c r="AU7" s="29"/>
      <c r="AV7" s="29"/>
      <c r="AW7" s="29"/>
      <c r="AX7" s="29"/>
      <c r="AY7" s="61"/>
      <c r="AZ7" s="61"/>
      <c r="BA7" s="61"/>
      <c r="BB7" s="30"/>
      <c r="BC7" s="30"/>
    </row>
    <row r="8" spans="1:55" s="10" customFormat="1" x14ac:dyDescent="0.2">
      <c r="A8" s="11" t="s">
        <v>145</v>
      </c>
      <c r="B8" s="9"/>
      <c r="C8" s="23" t="s">
        <v>220</v>
      </c>
      <c r="D8" s="12" t="s">
        <v>177</v>
      </c>
      <c r="E8" s="13">
        <v>0.89</v>
      </c>
      <c r="F8" s="13">
        <v>8.8999999999999996E-2</v>
      </c>
      <c r="G8" s="13">
        <f t="shared" si="0"/>
        <v>4.8949999999999994E-2</v>
      </c>
      <c r="H8" s="13">
        <f>F8*0.45</f>
        <v>4.0050000000000002E-2</v>
      </c>
      <c r="I8" s="13">
        <v>0.19</v>
      </c>
      <c r="J8" s="15">
        <f t="shared" si="1"/>
        <v>6.2700000000000006E-2</v>
      </c>
      <c r="K8" s="13"/>
      <c r="L8" s="13"/>
      <c r="M8" s="13">
        <f t="shared" si="4"/>
        <v>0</v>
      </c>
      <c r="N8" s="13">
        <v>8.3000000000000004E-2</v>
      </c>
      <c r="O8" s="16">
        <f t="shared" si="2"/>
        <v>1.7910000000000004</v>
      </c>
      <c r="P8" s="13">
        <v>0.78</v>
      </c>
      <c r="Q8" s="13">
        <v>3.9E-2</v>
      </c>
      <c r="R8" s="15">
        <f>Q8*0.743*(26+55.1+1.6)/100</f>
        <v>2.3963978999999996E-2</v>
      </c>
      <c r="S8" s="13">
        <v>1.9E-2</v>
      </c>
      <c r="T8" s="15">
        <f t="shared" si="3"/>
        <v>0.66300000000000003</v>
      </c>
      <c r="U8" s="13">
        <v>0.58499999999999996</v>
      </c>
      <c r="V8" s="13">
        <v>0.12</v>
      </c>
      <c r="W8" s="45"/>
      <c r="X8" s="45"/>
      <c r="Y8" s="13">
        <v>5.0000000000000001E-4</v>
      </c>
      <c r="Z8" s="13">
        <v>2.8E-3</v>
      </c>
      <c r="AA8" s="13">
        <v>1.1999999999999999E-3</v>
      </c>
      <c r="AB8" s="13">
        <v>4.7999999999999996E-3</v>
      </c>
      <c r="AC8" s="13">
        <v>8.9999999999999998E-4</v>
      </c>
      <c r="AD8" s="13">
        <v>1E-4</v>
      </c>
      <c r="AE8" s="13">
        <v>6.9999999999999999E-4</v>
      </c>
      <c r="AF8" s="18"/>
      <c r="AG8" s="18">
        <v>3</v>
      </c>
      <c r="AH8" s="18">
        <v>9</v>
      </c>
      <c r="AI8" s="18">
        <v>22</v>
      </c>
      <c r="AJ8" s="18">
        <v>7.0000000000000007E-2</v>
      </c>
      <c r="AK8" s="18"/>
      <c r="AL8" s="18"/>
      <c r="AM8" s="18"/>
      <c r="AN8" s="18"/>
      <c r="AO8" s="17"/>
      <c r="AP8" s="39"/>
      <c r="AQ8" s="39"/>
      <c r="AR8" s="39"/>
      <c r="AS8" s="30"/>
      <c r="AT8" s="29"/>
      <c r="AU8" s="29"/>
      <c r="AV8" s="29"/>
      <c r="AW8" s="29"/>
      <c r="AX8" s="29"/>
      <c r="AY8" s="61"/>
      <c r="AZ8" s="61"/>
      <c r="BA8" s="61"/>
      <c r="BB8" s="30"/>
      <c r="BC8" s="30"/>
    </row>
    <row r="9" spans="1:55" s="10" customFormat="1" x14ac:dyDescent="0.2">
      <c r="A9" s="11" t="s">
        <v>81</v>
      </c>
      <c r="B9" s="9"/>
      <c r="C9" s="23" t="s">
        <v>220</v>
      </c>
      <c r="D9" s="12" t="s">
        <v>177</v>
      </c>
      <c r="E9" s="15">
        <v>0.86</v>
      </c>
      <c r="F9" s="15">
        <v>8.5199999999999998E-2</v>
      </c>
      <c r="G9" s="13">
        <f t="shared" si="0"/>
        <v>3.4079999999999999E-2</v>
      </c>
      <c r="H9" s="13">
        <f>F9*0.6</f>
        <v>5.1119999999999999E-2</v>
      </c>
      <c r="I9" s="15">
        <v>0.09</v>
      </c>
      <c r="J9" s="15">
        <f t="shared" si="1"/>
        <v>2.9700000000000001E-2</v>
      </c>
      <c r="K9" s="13"/>
      <c r="L9" s="13"/>
      <c r="M9" s="15">
        <f t="shared" si="4"/>
        <v>0</v>
      </c>
      <c r="N9" s="15">
        <v>3.6999999999999998E-2</v>
      </c>
      <c r="O9" s="16">
        <f t="shared" si="2"/>
        <v>2.036</v>
      </c>
      <c r="P9" s="15">
        <v>0.88</v>
      </c>
      <c r="Q9" s="15">
        <v>3.6700000000000003E-2</v>
      </c>
      <c r="R9" s="15">
        <f>Q9*0.929*(23.2+58.4+1.8)/100</f>
        <v>2.8434646200000004E-2</v>
      </c>
      <c r="S9" s="15">
        <v>1.4999999999999999E-2</v>
      </c>
      <c r="T9" s="15">
        <f t="shared" si="3"/>
        <v>0.77310000000000001</v>
      </c>
      <c r="U9" s="15">
        <v>0.75600000000000001</v>
      </c>
      <c r="V9" s="15">
        <v>0.35</v>
      </c>
      <c r="W9" s="45"/>
      <c r="X9" s="45"/>
      <c r="Y9" s="15">
        <v>4.0000000000000002E-4</v>
      </c>
      <c r="Z9" s="15">
        <v>3.0000000000000001E-3</v>
      </c>
      <c r="AA9" s="15">
        <v>1.1999999999999999E-3</v>
      </c>
      <c r="AB9" s="15">
        <v>4.1999999999999997E-3</v>
      </c>
      <c r="AC9" s="15">
        <v>1E-3</v>
      </c>
      <c r="AD9" s="15">
        <v>2.0000000000000001E-4</v>
      </c>
      <c r="AE9" s="13">
        <v>8.0000000000000004E-4</v>
      </c>
      <c r="AF9" s="18"/>
      <c r="AG9" s="18">
        <v>3</v>
      </c>
      <c r="AH9" s="18">
        <v>11</v>
      </c>
      <c r="AI9" s="18">
        <v>27</v>
      </c>
      <c r="AJ9" s="18">
        <v>7.0000000000000007E-2</v>
      </c>
      <c r="AK9" s="18"/>
      <c r="AL9" s="18"/>
      <c r="AM9" s="18"/>
      <c r="AN9" s="18"/>
      <c r="AO9" s="17"/>
      <c r="AP9" s="39"/>
      <c r="AQ9" s="39"/>
      <c r="AR9" s="39"/>
      <c r="AS9" s="30"/>
      <c r="AT9" s="29">
        <v>0.23899999999999999</v>
      </c>
      <c r="AU9" s="29">
        <v>0.72499999999999998</v>
      </c>
      <c r="AV9" s="29">
        <v>3.5999999999999997E-2</v>
      </c>
      <c r="AW9" s="29">
        <v>4.9000000000000002E-2</v>
      </c>
      <c r="AX9" s="29">
        <v>0.7</v>
      </c>
      <c r="AY9" s="61">
        <v>1</v>
      </c>
      <c r="AZ9" s="61">
        <v>0.51</v>
      </c>
      <c r="BA9" s="61">
        <v>1</v>
      </c>
      <c r="BB9" s="30"/>
      <c r="BC9" s="30"/>
    </row>
    <row r="10" spans="1:55" s="10" customFormat="1" x14ac:dyDescent="0.2">
      <c r="A10" s="11" t="s">
        <v>146</v>
      </c>
      <c r="B10" s="9"/>
      <c r="C10" s="23" t="s">
        <v>220</v>
      </c>
      <c r="D10" s="12" t="s">
        <v>177</v>
      </c>
      <c r="E10" s="15">
        <v>0.88</v>
      </c>
      <c r="F10" s="15">
        <v>0.09</v>
      </c>
      <c r="G10" s="13">
        <f t="shared" si="0"/>
        <v>4.4999999999999998E-2</v>
      </c>
      <c r="H10" s="13">
        <f>F10*0.5</f>
        <v>4.4999999999999998E-2</v>
      </c>
      <c r="I10" s="15">
        <v>0.09</v>
      </c>
      <c r="J10" s="15">
        <f t="shared" si="1"/>
        <v>2.9700000000000001E-2</v>
      </c>
      <c r="K10" s="13"/>
      <c r="L10" s="13"/>
      <c r="M10" s="15">
        <f t="shared" si="4"/>
        <v>0</v>
      </c>
      <c r="N10" s="15">
        <v>3.5999999999999997E-2</v>
      </c>
      <c r="O10" s="16">
        <f t="shared" si="2"/>
        <v>1.9624999999999999</v>
      </c>
      <c r="P10" s="15">
        <v>0.85</v>
      </c>
      <c r="Q10" s="15">
        <v>0.04</v>
      </c>
      <c r="R10" s="15">
        <f>Q10*0.952*(24.1+55.7+1.6)/100</f>
        <v>3.099712E-2</v>
      </c>
      <c r="S10" s="15">
        <v>1.4999999999999999E-2</v>
      </c>
      <c r="T10" s="15">
        <f t="shared" si="3"/>
        <v>0.76500000000000001</v>
      </c>
      <c r="U10" s="15">
        <v>0.748</v>
      </c>
      <c r="V10" s="15">
        <v>0.15</v>
      </c>
      <c r="W10" s="45"/>
      <c r="X10" s="45"/>
      <c r="Y10" s="15">
        <v>4.0000000000000002E-4</v>
      </c>
      <c r="Z10" s="15">
        <v>3.0000000000000001E-3</v>
      </c>
      <c r="AA10" s="15">
        <v>1.1999999999999999E-3</v>
      </c>
      <c r="AB10" s="15">
        <v>4.1999999999999997E-3</v>
      </c>
      <c r="AC10" s="15">
        <v>1E-3</v>
      </c>
      <c r="AD10" s="15">
        <v>2.0000000000000001E-4</v>
      </c>
      <c r="AE10" s="13">
        <v>8.0000000000000004E-4</v>
      </c>
      <c r="AF10" s="18"/>
      <c r="AG10" s="18">
        <v>3</v>
      </c>
      <c r="AH10" s="18">
        <v>11</v>
      </c>
      <c r="AI10" s="18">
        <v>27</v>
      </c>
      <c r="AJ10" s="18">
        <v>7.0000000000000007E-2</v>
      </c>
      <c r="AK10" s="18"/>
      <c r="AL10" s="18"/>
      <c r="AM10" s="18"/>
      <c r="AN10" s="18"/>
      <c r="AO10" s="17"/>
      <c r="AP10" s="39"/>
      <c r="AQ10" s="39"/>
      <c r="AR10" s="39"/>
      <c r="AS10" s="30"/>
      <c r="AT10" s="29">
        <v>0.23899999999999999</v>
      </c>
      <c r="AU10" s="29">
        <v>0.72499999999999998</v>
      </c>
      <c r="AV10" s="29">
        <v>3.5999999999999997E-2</v>
      </c>
      <c r="AW10" s="29">
        <v>4.9000000000000002E-2</v>
      </c>
      <c r="AX10" s="29">
        <v>0.7</v>
      </c>
      <c r="AY10" s="61">
        <v>1</v>
      </c>
      <c r="AZ10" s="61">
        <v>0.51</v>
      </c>
      <c r="BA10" s="61">
        <v>1</v>
      </c>
      <c r="BB10" s="30"/>
      <c r="BC10" s="30"/>
    </row>
    <row r="11" spans="1:55" s="10" customFormat="1" x14ac:dyDescent="0.2">
      <c r="A11" s="11" t="s">
        <v>147</v>
      </c>
      <c r="B11" s="9"/>
      <c r="C11" s="23" t="s">
        <v>220</v>
      </c>
      <c r="D11" s="12" t="s">
        <v>177</v>
      </c>
      <c r="E11" s="15">
        <v>0.88</v>
      </c>
      <c r="F11" s="15">
        <v>0.09</v>
      </c>
      <c r="G11" s="13">
        <f t="shared" si="0"/>
        <v>3.5999999999999997E-2</v>
      </c>
      <c r="H11" s="13">
        <f>F11*0.6</f>
        <v>5.3999999999999999E-2</v>
      </c>
      <c r="I11" s="15">
        <v>0.09</v>
      </c>
      <c r="J11" s="15">
        <f t="shared" si="1"/>
        <v>2.9700000000000001E-2</v>
      </c>
      <c r="K11" s="13"/>
      <c r="L11" s="13"/>
      <c r="M11" s="15">
        <f t="shared" si="4"/>
        <v>0</v>
      </c>
      <c r="N11" s="15">
        <v>3.5999999999999997E-2</v>
      </c>
      <c r="O11" s="16">
        <f t="shared" si="2"/>
        <v>1.8400000000000003</v>
      </c>
      <c r="P11" s="15">
        <v>0.8</v>
      </c>
      <c r="Q11" s="15">
        <v>0.04</v>
      </c>
      <c r="R11" s="15">
        <f>Q11*0.952*(24.1+55.7+1.6)/100</f>
        <v>3.099712E-2</v>
      </c>
      <c r="S11" s="15">
        <v>1.4999999999999999E-2</v>
      </c>
      <c r="T11" s="15">
        <f t="shared" si="3"/>
        <v>0.76500000000000001</v>
      </c>
      <c r="U11" s="15">
        <v>0.748</v>
      </c>
      <c r="V11" s="15">
        <v>0.12</v>
      </c>
      <c r="W11" s="45"/>
      <c r="X11" s="45"/>
      <c r="Y11" s="15">
        <v>4.0000000000000002E-4</v>
      </c>
      <c r="Z11" s="15">
        <v>3.0000000000000001E-3</v>
      </c>
      <c r="AA11" s="15">
        <v>1.1999999999999999E-3</v>
      </c>
      <c r="AB11" s="15">
        <v>4.1999999999999997E-3</v>
      </c>
      <c r="AC11" s="15">
        <v>1E-3</v>
      </c>
      <c r="AD11" s="15">
        <v>2.0000000000000001E-4</v>
      </c>
      <c r="AE11" s="13">
        <v>8.0000000000000004E-4</v>
      </c>
      <c r="AF11" s="18"/>
      <c r="AG11" s="18">
        <v>3</v>
      </c>
      <c r="AH11" s="18">
        <v>11</v>
      </c>
      <c r="AI11" s="18">
        <v>27</v>
      </c>
      <c r="AJ11" s="18">
        <v>7.0000000000000007E-2</v>
      </c>
      <c r="AK11" s="18"/>
      <c r="AL11" s="18"/>
      <c r="AM11" s="18"/>
      <c r="AN11" s="18"/>
      <c r="AO11" s="17"/>
      <c r="AP11" s="39"/>
      <c r="AQ11" s="39"/>
      <c r="AR11" s="39"/>
      <c r="AS11" s="30"/>
      <c r="AT11" s="29">
        <v>0.23899999999999999</v>
      </c>
      <c r="AU11" s="29">
        <v>0.72499999999999998</v>
      </c>
      <c r="AV11" s="29">
        <v>3.5999999999999997E-2</v>
      </c>
      <c r="AW11" s="29">
        <v>4.9000000000000002E-2</v>
      </c>
      <c r="AX11" s="29">
        <v>0.7</v>
      </c>
      <c r="AY11" s="61">
        <v>1</v>
      </c>
      <c r="AZ11" s="61">
        <v>0.51</v>
      </c>
      <c r="BA11" s="61">
        <v>1</v>
      </c>
      <c r="BB11" s="30"/>
      <c r="BC11" s="30"/>
    </row>
    <row r="12" spans="1:55" s="10" customFormat="1" x14ac:dyDescent="0.2">
      <c r="A12" s="11" t="s">
        <v>301</v>
      </c>
      <c r="B12" s="9"/>
      <c r="C12" s="23" t="s">
        <v>220</v>
      </c>
      <c r="D12" s="5" t="s">
        <v>177</v>
      </c>
      <c r="E12" s="15">
        <v>0.68</v>
      </c>
      <c r="F12" s="15">
        <v>9.1999999999999998E-2</v>
      </c>
      <c r="G12" s="13">
        <f t="shared" ref="G12" si="5">F12-H12</f>
        <v>5.0599999999999999E-2</v>
      </c>
      <c r="H12" s="13">
        <f>F12*0.45</f>
        <v>4.1399999999999999E-2</v>
      </c>
      <c r="I12" s="15">
        <v>0.108</v>
      </c>
      <c r="J12" s="15">
        <f t="shared" ref="J12" si="6">(I12*K12)+(I12*(1-K12)*0.33)</f>
        <v>3.5639999999999998E-2</v>
      </c>
      <c r="K12" s="13"/>
      <c r="L12" s="13"/>
      <c r="M12" s="15">
        <f t="shared" ref="M12" si="7">IF(D12="C", 0,I12)</f>
        <v>0</v>
      </c>
      <c r="N12" s="15">
        <v>4.1000000000000002E-2</v>
      </c>
      <c r="O12" s="16">
        <f t="shared" ref="O12" si="8">(0.0245*P12*100)-0.12</f>
        <v>2.036</v>
      </c>
      <c r="P12" s="15">
        <v>0.88</v>
      </c>
      <c r="Q12" s="15">
        <v>3.9E-2</v>
      </c>
      <c r="R12" s="15">
        <f>Q12*0.743*(26+55.1+1.6)/100</f>
        <v>2.3963978999999996E-2</v>
      </c>
      <c r="S12" s="15">
        <v>1.4999999999999999E-2</v>
      </c>
      <c r="T12" s="15">
        <f t="shared" ref="T12" si="9">1-(I12+Q12+S12+F12)</f>
        <v>0.746</v>
      </c>
      <c r="U12" s="15">
        <v>0.70699999999999996</v>
      </c>
      <c r="V12" s="15">
        <v>0.28999999999999998</v>
      </c>
      <c r="W12" s="42"/>
      <c r="X12" s="42"/>
      <c r="Y12" s="15">
        <v>2.9999999999999997E-4</v>
      </c>
      <c r="Z12" s="15">
        <v>3.0000000000000001E-3</v>
      </c>
      <c r="AA12" s="15">
        <v>1.1999999999999999E-3</v>
      </c>
      <c r="AB12" s="15">
        <v>4.3E-3</v>
      </c>
      <c r="AC12" s="15">
        <v>1E-3</v>
      </c>
      <c r="AD12" s="15">
        <v>1E-4</v>
      </c>
      <c r="AE12" s="13">
        <v>5.0000000000000001E-4</v>
      </c>
      <c r="AF12" s="18"/>
      <c r="AG12" s="18">
        <v>1</v>
      </c>
      <c r="AH12" s="18">
        <v>7</v>
      </c>
      <c r="AI12" s="18">
        <v>21</v>
      </c>
      <c r="AJ12" s="18">
        <v>7.0000000000000007E-2</v>
      </c>
      <c r="AK12" s="18"/>
      <c r="AL12" s="18"/>
      <c r="AM12" s="18"/>
      <c r="AN12" s="18"/>
      <c r="AO12" s="17"/>
      <c r="AP12" s="44"/>
      <c r="AQ12" s="44"/>
      <c r="AR12" s="44"/>
      <c r="AS12" s="30"/>
      <c r="AT12" s="29">
        <v>0.27900000000000003</v>
      </c>
      <c r="AU12" s="29">
        <v>0.71399999999999997</v>
      </c>
      <c r="AV12" s="29">
        <v>7.0000000000000001E-3</v>
      </c>
      <c r="AW12" s="29">
        <v>5.0999999999999997E-2</v>
      </c>
      <c r="AX12" s="29">
        <v>0.9</v>
      </c>
      <c r="AY12" s="61">
        <v>1</v>
      </c>
      <c r="AZ12" s="61">
        <v>0.51</v>
      </c>
      <c r="BA12" s="61">
        <v>1</v>
      </c>
      <c r="BB12" s="30"/>
      <c r="BC12" s="30"/>
    </row>
    <row r="13" spans="1:55" s="10" customFormat="1" x14ac:dyDescent="0.2">
      <c r="A13" s="11" t="s">
        <v>148</v>
      </c>
      <c r="B13" s="9"/>
      <c r="C13" s="23" t="s">
        <v>220</v>
      </c>
      <c r="D13" s="5" t="s">
        <v>177</v>
      </c>
      <c r="E13" s="15">
        <v>0.65</v>
      </c>
      <c r="F13" s="15">
        <v>9.1999999999999998E-2</v>
      </c>
      <c r="G13" s="13">
        <f t="shared" si="0"/>
        <v>5.0599999999999999E-2</v>
      </c>
      <c r="H13" s="13">
        <f>F13*0.45</f>
        <v>4.1399999999999999E-2</v>
      </c>
      <c r="I13" s="15">
        <v>0.108</v>
      </c>
      <c r="J13" s="15">
        <f t="shared" si="1"/>
        <v>3.5639999999999998E-2</v>
      </c>
      <c r="K13" s="13"/>
      <c r="L13" s="13"/>
      <c r="M13" s="15">
        <f t="shared" si="4"/>
        <v>0</v>
      </c>
      <c r="N13" s="15">
        <v>4.1000000000000002E-2</v>
      </c>
      <c r="O13" s="16">
        <f t="shared" si="2"/>
        <v>2.0605000000000002</v>
      </c>
      <c r="P13" s="15">
        <v>0.89</v>
      </c>
      <c r="Q13" s="15">
        <v>3.9E-2</v>
      </c>
      <c r="R13" s="15">
        <f>Q13*0.743*(26+55.1+1.6)/100</f>
        <v>2.3963978999999996E-2</v>
      </c>
      <c r="S13" s="15">
        <v>1.4999999999999999E-2</v>
      </c>
      <c r="T13" s="15">
        <f t="shared" si="3"/>
        <v>0.746</v>
      </c>
      <c r="U13" s="15">
        <v>0.70699999999999996</v>
      </c>
      <c r="V13" s="15">
        <v>0.37</v>
      </c>
      <c r="W13" s="42"/>
      <c r="X13" s="42"/>
      <c r="Y13" s="15">
        <v>2.9999999999999997E-4</v>
      </c>
      <c r="Z13" s="15">
        <v>3.0000000000000001E-3</v>
      </c>
      <c r="AA13" s="15">
        <v>1.1999999999999999E-3</v>
      </c>
      <c r="AB13" s="15">
        <v>4.3E-3</v>
      </c>
      <c r="AC13" s="15">
        <v>1E-3</v>
      </c>
      <c r="AD13" s="15">
        <v>1E-4</v>
      </c>
      <c r="AE13" s="13">
        <v>5.0000000000000001E-4</v>
      </c>
      <c r="AF13" s="18"/>
      <c r="AG13" s="18">
        <v>1</v>
      </c>
      <c r="AH13" s="18">
        <v>7</v>
      </c>
      <c r="AI13" s="18">
        <v>21</v>
      </c>
      <c r="AJ13" s="18">
        <v>7.0000000000000007E-2</v>
      </c>
      <c r="AK13" s="18"/>
      <c r="AL13" s="18"/>
      <c r="AM13" s="18"/>
      <c r="AN13" s="18"/>
      <c r="AO13" s="17"/>
      <c r="AP13" s="44"/>
      <c r="AQ13" s="44"/>
      <c r="AR13" s="44"/>
      <c r="AS13" s="28"/>
      <c r="AT13" s="29">
        <v>0.27900000000000003</v>
      </c>
      <c r="AU13" s="29">
        <v>0.71399999999999997</v>
      </c>
      <c r="AV13" s="29">
        <v>7.0000000000000001E-3</v>
      </c>
      <c r="AW13" s="29">
        <v>5.0999999999999997E-2</v>
      </c>
      <c r="AX13" s="29">
        <v>0.9</v>
      </c>
      <c r="AY13" s="61">
        <v>1</v>
      </c>
      <c r="AZ13" s="61">
        <v>0.51</v>
      </c>
      <c r="BA13" s="61">
        <v>1</v>
      </c>
      <c r="BB13" s="30"/>
      <c r="BC13" s="30"/>
    </row>
    <row r="14" spans="1:55" s="10" customFormat="1" x14ac:dyDescent="0.2">
      <c r="A14" s="11" t="s">
        <v>149</v>
      </c>
      <c r="B14" s="9"/>
      <c r="C14" s="23" t="s">
        <v>220</v>
      </c>
      <c r="D14" s="5" t="s">
        <v>177</v>
      </c>
      <c r="E14" s="15">
        <v>0.68</v>
      </c>
      <c r="F14" s="15">
        <v>9.1999999999999998E-2</v>
      </c>
      <c r="G14" s="13">
        <f t="shared" si="0"/>
        <v>5.0599999999999999E-2</v>
      </c>
      <c r="H14" s="13">
        <f>F14*0.45</f>
        <v>4.1399999999999999E-2</v>
      </c>
      <c r="I14" s="15">
        <v>0.108</v>
      </c>
      <c r="J14" s="15">
        <f t="shared" si="1"/>
        <v>3.5639999999999998E-2</v>
      </c>
      <c r="K14" s="13"/>
      <c r="L14" s="13"/>
      <c r="M14" s="15">
        <f t="shared" si="4"/>
        <v>0</v>
      </c>
      <c r="N14" s="15">
        <v>4.1000000000000002E-2</v>
      </c>
      <c r="O14" s="16">
        <f t="shared" si="2"/>
        <v>2.036</v>
      </c>
      <c r="P14" s="15">
        <v>0.88</v>
      </c>
      <c r="Q14" s="15">
        <v>3.9E-2</v>
      </c>
      <c r="R14" s="15">
        <f>Q14*0.743*(26+55.1+1.6)/100</f>
        <v>2.3963978999999996E-2</v>
      </c>
      <c r="S14" s="15">
        <v>1.4999999999999999E-2</v>
      </c>
      <c r="T14" s="15">
        <f t="shared" si="3"/>
        <v>0.746</v>
      </c>
      <c r="U14" s="15">
        <v>0.70699999999999996</v>
      </c>
      <c r="V14" s="15">
        <v>0.28999999999999998</v>
      </c>
      <c r="W14" s="42"/>
      <c r="X14" s="42"/>
      <c r="Y14" s="15">
        <v>2.9999999999999997E-4</v>
      </c>
      <c r="Z14" s="15">
        <v>3.0000000000000001E-3</v>
      </c>
      <c r="AA14" s="15">
        <v>1.1999999999999999E-3</v>
      </c>
      <c r="AB14" s="15">
        <v>4.3E-3</v>
      </c>
      <c r="AC14" s="15">
        <v>1E-3</v>
      </c>
      <c r="AD14" s="15">
        <v>1E-4</v>
      </c>
      <c r="AE14" s="13">
        <v>5.0000000000000001E-4</v>
      </c>
      <c r="AF14" s="18"/>
      <c r="AG14" s="18">
        <v>1</v>
      </c>
      <c r="AH14" s="18">
        <v>7</v>
      </c>
      <c r="AI14" s="18">
        <v>21</v>
      </c>
      <c r="AJ14" s="18">
        <v>7.0000000000000007E-2</v>
      </c>
      <c r="AK14" s="18"/>
      <c r="AL14" s="18"/>
      <c r="AM14" s="18"/>
      <c r="AN14" s="18"/>
      <c r="AO14" s="17"/>
      <c r="AP14" s="44"/>
      <c r="AQ14" s="44"/>
      <c r="AR14" s="44"/>
      <c r="AS14" s="30"/>
      <c r="AT14" s="29">
        <v>0.27900000000000003</v>
      </c>
      <c r="AU14" s="29">
        <v>0.71399999999999997</v>
      </c>
      <c r="AV14" s="29">
        <v>7.0000000000000001E-3</v>
      </c>
      <c r="AW14" s="29">
        <v>5.0999999999999997E-2</v>
      </c>
      <c r="AX14" s="29">
        <v>0.9</v>
      </c>
      <c r="AY14" s="61">
        <v>1</v>
      </c>
      <c r="AZ14" s="61">
        <v>0.51</v>
      </c>
      <c r="BA14" s="61">
        <v>1</v>
      </c>
      <c r="BB14" s="30"/>
      <c r="BC14" s="30"/>
    </row>
    <row r="15" spans="1:55" s="14" customFormat="1" x14ac:dyDescent="0.2">
      <c r="A15" s="11" t="s">
        <v>150</v>
      </c>
      <c r="B15" s="9"/>
      <c r="C15" s="23" t="s">
        <v>220</v>
      </c>
      <c r="D15" s="5" t="s">
        <v>177</v>
      </c>
      <c r="E15" s="15">
        <v>0.78</v>
      </c>
      <c r="F15" s="15">
        <v>0.09</v>
      </c>
      <c r="G15" s="13">
        <f t="shared" si="0"/>
        <v>4.9499999999999995E-2</v>
      </c>
      <c r="H15" s="13">
        <f>F15*0.45</f>
        <v>4.0500000000000001E-2</v>
      </c>
      <c r="I15" s="15">
        <v>0.10299999999999999</v>
      </c>
      <c r="J15" s="15">
        <f t="shared" si="1"/>
        <v>3.3989999999999999E-2</v>
      </c>
      <c r="K15" s="13"/>
      <c r="L15" s="13"/>
      <c r="M15" s="15">
        <f t="shared" si="4"/>
        <v>0</v>
      </c>
      <c r="N15" s="15">
        <v>3.9E-2</v>
      </c>
      <c r="O15" s="16">
        <f t="shared" si="2"/>
        <v>2.0114999999999998</v>
      </c>
      <c r="P15" s="15">
        <v>0.87</v>
      </c>
      <c r="Q15" s="15">
        <v>3.7999999999999999E-2</v>
      </c>
      <c r="R15" s="15">
        <f>Q15*0.743*(26+55.1+1.6)/100</f>
        <v>2.3349517999999993E-2</v>
      </c>
      <c r="S15" s="15">
        <v>1.4999999999999999E-2</v>
      </c>
      <c r="T15" s="15">
        <f t="shared" si="3"/>
        <v>0.754</v>
      </c>
      <c r="U15" s="15">
        <v>0.72199999999999998</v>
      </c>
      <c r="V15" s="15">
        <v>0.27</v>
      </c>
      <c r="W15" s="42"/>
      <c r="X15" s="42"/>
      <c r="Y15" s="15">
        <v>2.9999999999999997E-4</v>
      </c>
      <c r="Z15" s="15">
        <v>3.0000000000000001E-3</v>
      </c>
      <c r="AA15" s="15">
        <v>1.1999999999999999E-3</v>
      </c>
      <c r="AB15" s="15">
        <v>4.3E-3</v>
      </c>
      <c r="AC15" s="15">
        <v>1E-3</v>
      </c>
      <c r="AD15" s="15">
        <v>1E-4</v>
      </c>
      <c r="AE15" s="13">
        <v>5.0000000000000001E-4</v>
      </c>
      <c r="AF15" s="18"/>
      <c r="AG15" s="18">
        <v>1</v>
      </c>
      <c r="AH15" s="18">
        <v>7</v>
      </c>
      <c r="AI15" s="18">
        <v>21</v>
      </c>
      <c r="AJ15" s="18">
        <v>7.0000000000000007E-2</v>
      </c>
      <c r="AK15" s="18"/>
      <c r="AL15" s="18"/>
      <c r="AM15" s="18"/>
      <c r="AN15" s="18"/>
      <c r="AO15" s="17"/>
      <c r="AP15" s="44"/>
      <c r="AQ15" s="44"/>
      <c r="AR15" s="44"/>
      <c r="AS15" s="28"/>
      <c r="AT15" s="29">
        <v>0.27900000000000003</v>
      </c>
      <c r="AU15" s="29">
        <v>0.71399999999999997</v>
      </c>
      <c r="AV15" s="29">
        <v>7.0000000000000001E-3</v>
      </c>
      <c r="AW15" s="29">
        <v>5.0999999999999997E-2</v>
      </c>
      <c r="AX15" s="29">
        <v>0.9</v>
      </c>
      <c r="AY15" s="61">
        <v>1</v>
      </c>
      <c r="AZ15" s="61">
        <v>0.51</v>
      </c>
      <c r="BA15" s="61">
        <v>1</v>
      </c>
      <c r="BB15" s="28"/>
      <c r="BC15" s="28"/>
    </row>
    <row r="16" spans="1:55" s="10" customFormat="1" x14ac:dyDescent="0.2">
      <c r="A16" s="11" t="s">
        <v>151</v>
      </c>
      <c r="B16" s="9"/>
      <c r="C16" s="23" t="s">
        <v>220</v>
      </c>
      <c r="D16" s="5" t="s">
        <v>177</v>
      </c>
      <c r="E16" s="15">
        <v>0.78</v>
      </c>
      <c r="F16" s="15">
        <v>9.1999999999999998E-2</v>
      </c>
      <c r="G16" s="13">
        <f t="shared" si="0"/>
        <v>5.0599999999999999E-2</v>
      </c>
      <c r="H16" s="13">
        <f>F16*0.45</f>
        <v>4.1399999999999999E-2</v>
      </c>
      <c r="I16" s="15">
        <v>0.10299999999999999</v>
      </c>
      <c r="J16" s="15">
        <f t="shared" si="1"/>
        <v>3.3989999999999999E-2</v>
      </c>
      <c r="K16" s="13"/>
      <c r="L16" s="13"/>
      <c r="M16" s="15">
        <f t="shared" si="4"/>
        <v>0</v>
      </c>
      <c r="N16" s="15">
        <v>3.7999999999999999E-2</v>
      </c>
      <c r="O16" s="16">
        <f t="shared" si="2"/>
        <v>1.9870000000000001</v>
      </c>
      <c r="P16" s="15">
        <v>0.86</v>
      </c>
      <c r="Q16" s="15">
        <v>3.7999999999999999E-2</v>
      </c>
      <c r="R16" s="15">
        <f>Q16*0.743*(26+55.1+1.6)/100</f>
        <v>2.3349517999999993E-2</v>
      </c>
      <c r="S16" s="15">
        <v>1.4999999999999999E-2</v>
      </c>
      <c r="T16" s="15">
        <f t="shared" si="3"/>
        <v>0.752</v>
      </c>
      <c r="U16" s="15">
        <v>0.72199999999999998</v>
      </c>
      <c r="V16" s="15">
        <v>0.17</v>
      </c>
      <c r="W16" s="42"/>
      <c r="X16" s="42"/>
      <c r="Y16" s="15">
        <v>2.9999999999999997E-4</v>
      </c>
      <c r="Z16" s="15">
        <v>3.0000000000000001E-3</v>
      </c>
      <c r="AA16" s="15">
        <v>1.1999999999999999E-3</v>
      </c>
      <c r="AB16" s="15">
        <v>4.3E-3</v>
      </c>
      <c r="AC16" s="15">
        <v>1E-3</v>
      </c>
      <c r="AD16" s="15">
        <v>1E-4</v>
      </c>
      <c r="AE16" s="13">
        <v>5.0000000000000001E-4</v>
      </c>
      <c r="AF16" s="18"/>
      <c r="AG16" s="18">
        <v>1</v>
      </c>
      <c r="AH16" s="18">
        <v>7</v>
      </c>
      <c r="AI16" s="18">
        <v>21</v>
      </c>
      <c r="AJ16" s="18">
        <v>7.0000000000000007E-2</v>
      </c>
      <c r="AK16" s="18"/>
      <c r="AL16" s="18"/>
      <c r="AM16" s="18"/>
      <c r="AN16" s="18"/>
      <c r="AO16" s="17"/>
      <c r="AP16" s="44"/>
      <c r="AQ16" s="44"/>
      <c r="AR16" s="44"/>
      <c r="AS16" s="28"/>
      <c r="AT16" s="29">
        <v>0.27900000000000003</v>
      </c>
      <c r="AU16" s="29">
        <v>0.71399999999999997</v>
      </c>
      <c r="AV16" s="29">
        <v>7.0000000000000001E-3</v>
      </c>
      <c r="AW16" s="29">
        <v>5.0999999999999997E-2</v>
      </c>
      <c r="AX16" s="29">
        <v>0.9</v>
      </c>
      <c r="AY16" s="61">
        <v>1</v>
      </c>
      <c r="AZ16" s="61">
        <v>0.51</v>
      </c>
      <c r="BA16" s="61">
        <v>1</v>
      </c>
      <c r="BB16" s="30"/>
      <c r="BC16" s="30"/>
    </row>
    <row r="17" spans="1:144" s="14" customFormat="1" x14ac:dyDescent="0.2">
      <c r="A17" s="11" t="s">
        <v>156</v>
      </c>
      <c r="B17" s="9"/>
      <c r="C17" s="23" t="s">
        <v>220</v>
      </c>
      <c r="D17" s="5" t="s">
        <v>177</v>
      </c>
      <c r="E17" s="13">
        <v>0.89</v>
      </c>
      <c r="F17" s="13">
        <v>0.113</v>
      </c>
      <c r="G17" s="13">
        <f t="shared" si="0"/>
        <v>5.9890000000000006E-2</v>
      </c>
      <c r="H17" s="13">
        <f>F17*0.47</f>
        <v>5.3109999999999997E-2</v>
      </c>
      <c r="I17" s="13">
        <v>0.17399999999999999</v>
      </c>
      <c r="J17" s="15">
        <f t="shared" si="1"/>
        <v>5.7419999999999999E-2</v>
      </c>
      <c r="K17" s="13"/>
      <c r="L17" s="13"/>
      <c r="M17" s="13">
        <f t="shared" si="4"/>
        <v>0</v>
      </c>
      <c r="N17" s="13">
        <v>0.06</v>
      </c>
      <c r="O17" s="16">
        <f t="shared" si="2"/>
        <v>1.9624999999999999</v>
      </c>
      <c r="P17" s="13">
        <v>0.85</v>
      </c>
      <c r="Q17" s="13">
        <v>3.5999999999999997E-2</v>
      </c>
      <c r="R17" s="15">
        <f>Q17*0.811*(29.7+48.2+1.6)/100</f>
        <v>2.321082E-2</v>
      </c>
      <c r="S17" s="13">
        <v>0.02</v>
      </c>
      <c r="T17" s="15">
        <f t="shared" si="3"/>
        <v>0.65700000000000003</v>
      </c>
      <c r="U17" s="13">
        <v>0.59799999999999998</v>
      </c>
      <c r="V17" s="13">
        <v>0.3</v>
      </c>
      <c r="W17" s="45"/>
      <c r="X17" s="45"/>
      <c r="Y17" s="13">
        <v>6.9999999999999999E-4</v>
      </c>
      <c r="Z17" s="13">
        <v>3.5000000000000001E-3</v>
      </c>
      <c r="AA17" s="13">
        <v>1.6999999999999999E-3</v>
      </c>
      <c r="AB17" s="13">
        <v>4.7000000000000002E-3</v>
      </c>
      <c r="AC17" s="13">
        <v>1.1000000000000001E-3</v>
      </c>
      <c r="AD17" s="13">
        <v>1E-4</v>
      </c>
      <c r="AE17" s="15">
        <v>5.9999999999999995E-4</v>
      </c>
      <c r="AF17" s="17"/>
      <c r="AG17" s="18">
        <v>6</v>
      </c>
      <c r="AH17" s="18">
        <v>21</v>
      </c>
      <c r="AI17" s="18">
        <v>25</v>
      </c>
      <c r="AJ17" s="17">
        <v>0.46</v>
      </c>
      <c r="AK17" s="17"/>
      <c r="AL17" s="17"/>
      <c r="AM17" s="17"/>
      <c r="AN17" s="17"/>
      <c r="AO17" s="39"/>
      <c r="AP17" s="39"/>
      <c r="AQ17" s="39"/>
      <c r="AR17" s="39"/>
      <c r="AS17" s="28"/>
      <c r="AT17" s="29">
        <v>0.189</v>
      </c>
      <c r="AU17" s="29">
        <v>0.79400000000000004</v>
      </c>
      <c r="AV17" s="29">
        <v>1.7000000000000001E-2</v>
      </c>
      <c r="AW17" s="29">
        <v>5.5E-2</v>
      </c>
      <c r="AX17" s="29">
        <v>0.85</v>
      </c>
      <c r="AY17" s="61">
        <v>1</v>
      </c>
      <c r="AZ17" s="61">
        <v>0.35</v>
      </c>
      <c r="BA17" s="61">
        <v>1</v>
      </c>
      <c r="BB17" s="28"/>
      <c r="BC17" s="28"/>
    </row>
    <row r="18" spans="1:144" s="14" customFormat="1" x14ac:dyDescent="0.2">
      <c r="A18" s="11" t="s">
        <v>157</v>
      </c>
      <c r="B18" s="9"/>
      <c r="C18" s="23" t="s">
        <v>220</v>
      </c>
      <c r="D18" s="12" t="s">
        <v>177</v>
      </c>
      <c r="E18" s="13">
        <v>0.89</v>
      </c>
      <c r="F18" s="13">
        <v>0.113</v>
      </c>
      <c r="G18" s="13">
        <f t="shared" si="0"/>
        <v>5.7630000000000001E-2</v>
      </c>
      <c r="H18" s="13">
        <f>F18*0.49</f>
        <v>5.5370000000000003E-2</v>
      </c>
      <c r="I18" s="13">
        <v>0.17399999999999999</v>
      </c>
      <c r="J18" s="15">
        <f t="shared" si="1"/>
        <v>5.7419999999999999E-2</v>
      </c>
      <c r="K18" s="13"/>
      <c r="L18" s="13"/>
      <c r="M18" s="13">
        <f t="shared" si="4"/>
        <v>0</v>
      </c>
      <c r="N18" s="13">
        <v>0.06</v>
      </c>
      <c r="O18" s="16">
        <f t="shared" si="2"/>
        <v>1.8400000000000003</v>
      </c>
      <c r="P18" s="13">
        <v>0.8</v>
      </c>
      <c r="Q18" s="13">
        <v>3.5999999999999997E-2</v>
      </c>
      <c r="R18" s="15">
        <f>Q18*0.811*(29.7+48.2+1.6)/100</f>
        <v>2.321082E-2</v>
      </c>
      <c r="S18" s="13">
        <v>0.02</v>
      </c>
      <c r="T18" s="15">
        <f t="shared" si="3"/>
        <v>0.65700000000000003</v>
      </c>
      <c r="U18" s="13">
        <v>0.59799999999999998</v>
      </c>
      <c r="V18" s="13">
        <v>0.15</v>
      </c>
      <c r="W18" s="45"/>
      <c r="X18" s="45"/>
      <c r="Y18" s="13">
        <v>6.9999999999999999E-4</v>
      </c>
      <c r="Z18" s="13">
        <v>3.5000000000000001E-3</v>
      </c>
      <c r="AA18" s="13">
        <v>1.6999999999999999E-3</v>
      </c>
      <c r="AB18" s="13">
        <v>4.7000000000000002E-3</v>
      </c>
      <c r="AC18" s="13">
        <v>1.1000000000000001E-3</v>
      </c>
      <c r="AD18" s="13">
        <v>1E-4</v>
      </c>
      <c r="AE18" s="15">
        <v>5.9999999999999995E-4</v>
      </c>
      <c r="AF18" s="17"/>
      <c r="AG18" s="18">
        <v>6</v>
      </c>
      <c r="AH18" s="18">
        <v>21</v>
      </c>
      <c r="AI18" s="18">
        <v>25</v>
      </c>
      <c r="AJ18" s="17">
        <v>0.46</v>
      </c>
      <c r="AK18" s="17"/>
      <c r="AL18" s="17"/>
      <c r="AM18" s="17"/>
      <c r="AN18" s="17"/>
      <c r="AO18" s="39"/>
      <c r="AP18" s="39"/>
      <c r="AQ18" s="39"/>
      <c r="AR18" s="39"/>
      <c r="AS18" s="28"/>
      <c r="AT18" s="29">
        <v>0.189</v>
      </c>
      <c r="AU18" s="29">
        <v>0.79400000000000004</v>
      </c>
      <c r="AV18" s="29">
        <v>1.7000000000000001E-2</v>
      </c>
      <c r="AW18" s="29">
        <v>5.5E-2</v>
      </c>
      <c r="AX18" s="29">
        <v>0.85</v>
      </c>
      <c r="AY18" s="61">
        <v>1</v>
      </c>
      <c r="AZ18" s="61">
        <v>0.35</v>
      </c>
      <c r="BA18" s="61">
        <v>1</v>
      </c>
      <c r="BB18" s="28"/>
      <c r="BC18" s="28"/>
    </row>
    <row r="19" spans="1:144" s="14" customFormat="1" x14ac:dyDescent="0.2">
      <c r="A19" s="11" t="s">
        <v>158</v>
      </c>
      <c r="B19" s="9"/>
      <c r="C19" s="23" t="s">
        <v>220</v>
      </c>
      <c r="D19" s="12" t="s">
        <v>177</v>
      </c>
      <c r="E19" s="13">
        <v>0.78</v>
      </c>
      <c r="F19" s="13">
        <v>0.113</v>
      </c>
      <c r="G19" s="13">
        <f t="shared" si="0"/>
        <v>6.2150000000000004E-2</v>
      </c>
      <c r="H19" s="13">
        <f>F19*0.45</f>
        <v>5.0849999999999999E-2</v>
      </c>
      <c r="I19" s="13">
        <v>0.23</v>
      </c>
      <c r="J19" s="15">
        <f t="shared" si="1"/>
        <v>7.5900000000000009E-2</v>
      </c>
      <c r="K19" s="13"/>
      <c r="L19" s="13"/>
      <c r="M19" s="13">
        <f t="shared" si="4"/>
        <v>0</v>
      </c>
      <c r="N19" s="13">
        <v>0.06</v>
      </c>
      <c r="O19" s="16">
        <f t="shared" si="2"/>
        <v>1.9624999999999999</v>
      </c>
      <c r="P19" s="13">
        <v>0.85</v>
      </c>
      <c r="Q19" s="13">
        <v>3.5999999999999997E-2</v>
      </c>
      <c r="R19" s="15">
        <f>Q19*0.811*(29.7+48.2+1.6)/100</f>
        <v>2.321082E-2</v>
      </c>
      <c r="S19" s="13">
        <v>0.02</v>
      </c>
      <c r="T19" s="15">
        <f t="shared" si="3"/>
        <v>0.60099999999999998</v>
      </c>
      <c r="U19" s="13">
        <v>0.54500000000000004</v>
      </c>
      <c r="V19" s="13">
        <v>0.2</v>
      </c>
      <c r="W19" s="45"/>
      <c r="X19" s="45"/>
      <c r="Y19" s="13">
        <v>6.9999999999999999E-4</v>
      </c>
      <c r="Z19" s="13">
        <v>3.5000000000000001E-3</v>
      </c>
      <c r="AA19" s="13">
        <v>1.6999999999999999E-3</v>
      </c>
      <c r="AB19" s="13">
        <v>4.7000000000000002E-3</v>
      </c>
      <c r="AC19" s="13">
        <v>1.1000000000000001E-3</v>
      </c>
      <c r="AD19" s="13">
        <v>1E-4</v>
      </c>
      <c r="AE19" s="15">
        <v>5.9999999999999995E-4</v>
      </c>
      <c r="AF19" s="17"/>
      <c r="AG19" s="18">
        <v>6</v>
      </c>
      <c r="AH19" s="18">
        <v>21</v>
      </c>
      <c r="AI19" s="18">
        <v>25</v>
      </c>
      <c r="AJ19" s="17">
        <v>0.46</v>
      </c>
      <c r="AK19" s="17"/>
      <c r="AL19" s="17"/>
      <c r="AM19" s="17"/>
      <c r="AN19" s="17"/>
      <c r="AO19" s="39"/>
      <c r="AP19" s="39"/>
      <c r="AQ19" s="39"/>
      <c r="AR19" s="39"/>
      <c r="AS19" s="28"/>
      <c r="AT19" s="29">
        <v>0.189</v>
      </c>
      <c r="AU19" s="29">
        <v>0.79400000000000004</v>
      </c>
      <c r="AV19" s="29">
        <v>1.7000000000000001E-2</v>
      </c>
      <c r="AW19" s="29">
        <v>5.5E-2</v>
      </c>
      <c r="AX19" s="29">
        <v>0.85</v>
      </c>
      <c r="AY19" s="61">
        <v>1</v>
      </c>
      <c r="AZ19" s="61">
        <v>0.35</v>
      </c>
      <c r="BA19" s="61">
        <v>1</v>
      </c>
      <c r="BB19" s="28"/>
      <c r="BC19" s="28"/>
    </row>
    <row r="20" spans="1:144" s="14" customFormat="1" x14ac:dyDescent="0.2">
      <c r="A20" s="19" t="s">
        <v>79</v>
      </c>
      <c r="B20" s="9"/>
      <c r="C20" s="23" t="s">
        <v>220</v>
      </c>
      <c r="D20" s="5" t="s">
        <v>177</v>
      </c>
      <c r="E20" s="13">
        <v>0.89</v>
      </c>
      <c r="F20" s="13">
        <v>0.14199999999999999</v>
      </c>
      <c r="G20" s="13">
        <f t="shared" si="0"/>
        <v>0.11359999999999999</v>
      </c>
      <c r="H20" s="13">
        <f>F20*0.2</f>
        <v>2.8399999999999998E-2</v>
      </c>
      <c r="I20" s="13">
        <v>0.11700000000000001</v>
      </c>
      <c r="J20" s="15">
        <f t="shared" si="1"/>
        <v>3.8610000000000005E-2</v>
      </c>
      <c r="K20" s="13"/>
      <c r="L20" s="13"/>
      <c r="M20" s="13">
        <f t="shared" si="4"/>
        <v>0</v>
      </c>
      <c r="N20" s="13">
        <v>5.1999999999999998E-2</v>
      </c>
      <c r="O20" s="16">
        <f t="shared" si="2"/>
        <v>2.036</v>
      </c>
      <c r="P20" s="13">
        <v>0.88</v>
      </c>
      <c r="Q20" s="13">
        <v>0.02</v>
      </c>
      <c r="R20" s="15">
        <f>Q20*0.905*(14.7+60.2+4.3)/100</f>
        <v>1.4335200000000001E-2</v>
      </c>
      <c r="S20" s="13">
        <v>0.02</v>
      </c>
      <c r="T20" s="15">
        <f t="shared" si="3"/>
        <v>0.70100000000000007</v>
      </c>
      <c r="U20" s="13">
        <v>0.65500000000000003</v>
      </c>
      <c r="V20" s="13">
        <v>0.4</v>
      </c>
      <c r="W20" s="45"/>
      <c r="X20" s="45"/>
      <c r="Y20" s="13">
        <v>5.0000000000000001E-4</v>
      </c>
      <c r="Z20" s="13">
        <v>4.3E-3</v>
      </c>
      <c r="AA20" s="13">
        <v>1.5E-3</v>
      </c>
      <c r="AB20" s="13">
        <v>5.0000000000000001E-3</v>
      </c>
      <c r="AC20" s="13">
        <v>1.5E-3</v>
      </c>
      <c r="AD20" s="13">
        <v>1E-4</v>
      </c>
      <c r="AE20" s="13">
        <v>1.1000000000000001E-3</v>
      </c>
      <c r="AF20" s="18"/>
      <c r="AG20" s="18">
        <v>5</v>
      </c>
      <c r="AH20" s="18">
        <v>42</v>
      </c>
      <c r="AI20" s="18">
        <v>40</v>
      </c>
      <c r="AJ20" s="18">
        <v>0.28000000000000003</v>
      </c>
      <c r="AK20" s="18"/>
      <c r="AL20" s="18"/>
      <c r="AM20" s="18"/>
      <c r="AN20" s="18"/>
      <c r="AO20" s="17"/>
      <c r="AP20" s="17"/>
      <c r="AQ20" s="17"/>
      <c r="AR20" s="17"/>
      <c r="AS20" s="28"/>
      <c r="AT20" s="29">
        <v>0.27100000000000002</v>
      </c>
      <c r="AU20" s="62">
        <v>0.65100000000000002</v>
      </c>
      <c r="AV20" s="29">
        <v>7.8E-2</v>
      </c>
      <c r="AW20" s="29">
        <v>0.188</v>
      </c>
      <c r="AX20" s="29">
        <v>0.95</v>
      </c>
      <c r="AY20" s="61">
        <v>1</v>
      </c>
      <c r="AZ20" s="61">
        <v>0.41</v>
      </c>
      <c r="BA20" s="61">
        <v>1</v>
      </c>
      <c r="BB20" s="28"/>
      <c r="BC20" s="28"/>
    </row>
    <row r="21" spans="1:144" s="14" customFormat="1" x14ac:dyDescent="0.2">
      <c r="A21" s="11" t="s">
        <v>129</v>
      </c>
      <c r="B21" s="9"/>
      <c r="C21" s="23" t="s">
        <v>224</v>
      </c>
      <c r="D21" s="12" t="s">
        <v>176</v>
      </c>
      <c r="E21" s="13">
        <v>0.9</v>
      </c>
      <c r="F21" s="13">
        <v>0.17</v>
      </c>
      <c r="G21" s="13">
        <f t="shared" ref="G21" si="10">F21-H21</f>
        <v>0.1275</v>
      </c>
      <c r="H21" s="13">
        <f>F21*0.25</f>
        <v>4.2500000000000003E-2</v>
      </c>
      <c r="I21" s="13">
        <v>0.46</v>
      </c>
      <c r="J21" s="15">
        <f t="shared" ref="J21" si="11">(I21*K21)+(I21*(1-K21)*0.33)</f>
        <v>0.46</v>
      </c>
      <c r="K21" s="13">
        <v>1</v>
      </c>
      <c r="L21" s="13">
        <v>1</v>
      </c>
      <c r="M21" s="13">
        <f t="shared" ref="M21" si="12">IF(D21="C", 0,I21)</f>
        <v>0.46</v>
      </c>
      <c r="N21" s="13">
        <v>0.36299999999999999</v>
      </c>
      <c r="O21" s="16">
        <f t="shared" ref="O21" si="13">(0.0245*P21*100)-0.12</f>
        <v>1.3744999999999998</v>
      </c>
      <c r="P21" s="13">
        <v>0.61</v>
      </c>
      <c r="Q21" s="13">
        <v>2.5000000000000001E-2</v>
      </c>
      <c r="R21" s="13">
        <f>Q21*0.55*(0.4+2.4+18.5+36.8)/100</f>
        <v>7.9887499999999993E-3</v>
      </c>
      <c r="S21" s="13">
        <v>0.11</v>
      </c>
      <c r="T21" s="15">
        <f t="shared" ref="T21" si="14">1-(I21+Q21+S21+F21)</f>
        <v>0.23499999999999988</v>
      </c>
      <c r="U21" s="13">
        <v>1.4E-2</v>
      </c>
      <c r="V21" s="13">
        <v>0.3</v>
      </c>
      <c r="W21" s="22"/>
      <c r="X21" s="22"/>
      <c r="Y21" s="13">
        <v>1.47E-2</v>
      </c>
      <c r="Z21" s="13">
        <v>2.8E-3</v>
      </c>
      <c r="AA21" s="13">
        <v>2.8999999999999998E-3</v>
      </c>
      <c r="AB21" s="13">
        <v>2.3699999999999999E-2</v>
      </c>
      <c r="AC21" s="13">
        <v>2.5999999999999999E-3</v>
      </c>
      <c r="AD21" s="13">
        <v>1E-3</v>
      </c>
      <c r="AE21" s="15">
        <v>6.4999999999999997E-3</v>
      </c>
      <c r="AF21" s="17">
        <v>0.31</v>
      </c>
      <c r="AG21" s="18">
        <v>9</v>
      </c>
      <c r="AH21" s="18">
        <v>44</v>
      </c>
      <c r="AI21" s="18">
        <v>28</v>
      </c>
      <c r="AJ21" s="18">
        <v>0.36</v>
      </c>
      <c r="AK21" s="17">
        <v>0.16</v>
      </c>
      <c r="AL21" s="39"/>
      <c r="AM21" s="46"/>
      <c r="AN21" s="46"/>
      <c r="AO21" s="46"/>
      <c r="AP21" s="39"/>
      <c r="AQ21" s="39"/>
      <c r="AR21" s="39"/>
      <c r="AS21" s="30"/>
      <c r="AT21" s="29"/>
      <c r="AU21" s="29"/>
      <c r="AV21" s="29"/>
      <c r="AW21" s="29"/>
      <c r="AX21" s="29"/>
      <c r="AY21" s="61"/>
      <c r="AZ21" s="61"/>
      <c r="BA21" s="61"/>
      <c r="BB21" s="28"/>
      <c r="BC21" s="28"/>
    </row>
    <row r="22" spans="1:144" s="14" customFormat="1" x14ac:dyDescent="0.2">
      <c r="A22" s="11" t="s">
        <v>130</v>
      </c>
      <c r="B22" s="9"/>
      <c r="C22" s="23" t="s">
        <v>224</v>
      </c>
      <c r="D22" s="12" t="s">
        <v>176</v>
      </c>
      <c r="E22" s="13">
        <v>0.35</v>
      </c>
      <c r="F22" s="13">
        <v>0.17</v>
      </c>
      <c r="G22" s="13">
        <f t="shared" si="0"/>
        <v>0.13600000000000001</v>
      </c>
      <c r="H22" s="13">
        <f>F22*0.2</f>
        <v>3.4000000000000002E-2</v>
      </c>
      <c r="I22" s="13">
        <v>0.46</v>
      </c>
      <c r="J22" s="15">
        <f t="shared" si="1"/>
        <v>0.39836000000000005</v>
      </c>
      <c r="K22" s="13">
        <v>0.8</v>
      </c>
      <c r="L22" s="13">
        <v>0.5</v>
      </c>
      <c r="M22" s="13">
        <f t="shared" si="4"/>
        <v>0.46</v>
      </c>
      <c r="N22" s="13">
        <v>0.35899999999999999</v>
      </c>
      <c r="O22" s="16">
        <f t="shared" si="2"/>
        <v>1.3744999999999998</v>
      </c>
      <c r="P22" s="13">
        <v>0.61</v>
      </c>
      <c r="Q22" s="13">
        <v>3.3000000000000002E-2</v>
      </c>
      <c r="R22" s="13">
        <f>Q22*0.513*(2+15.9+38.7)/100</f>
        <v>9.5818139999999993E-3</v>
      </c>
      <c r="S22" s="13">
        <v>0.11</v>
      </c>
      <c r="T22" s="15">
        <f t="shared" si="3"/>
        <v>0.22699999999999998</v>
      </c>
      <c r="U22" s="13">
        <v>1.4E-2</v>
      </c>
      <c r="V22" s="13">
        <v>0.3</v>
      </c>
      <c r="W22" s="22"/>
      <c r="X22" s="22"/>
      <c r="Y22" s="13">
        <v>1.47E-2</v>
      </c>
      <c r="Z22" s="13">
        <v>2.8E-3</v>
      </c>
      <c r="AA22" s="13">
        <v>2.8999999999999998E-3</v>
      </c>
      <c r="AB22" s="13">
        <v>2.3699999999999999E-2</v>
      </c>
      <c r="AC22" s="13">
        <v>2.5999999999999999E-3</v>
      </c>
      <c r="AD22" s="13">
        <v>1E-3</v>
      </c>
      <c r="AE22" s="15">
        <v>6.4999999999999997E-3</v>
      </c>
      <c r="AF22" s="17">
        <v>0.31</v>
      </c>
      <c r="AG22" s="18">
        <v>9</v>
      </c>
      <c r="AH22" s="18">
        <v>44</v>
      </c>
      <c r="AI22" s="18">
        <v>28</v>
      </c>
      <c r="AJ22" s="18">
        <v>0.36</v>
      </c>
      <c r="AK22" s="17">
        <v>0.16</v>
      </c>
      <c r="AL22" s="39"/>
      <c r="AM22" s="46"/>
      <c r="AN22" s="46"/>
      <c r="AO22" s="46"/>
      <c r="AP22" s="39"/>
      <c r="AQ22" s="39"/>
      <c r="AR22" s="39"/>
      <c r="AS22" s="30"/>
      <c r="AT22" s="29"/>
      <c r="AU22" s="29"/>
      <c r="AV22" s="29"/>
      <c r="AW22" s="29"/>
      <c r="AX22" s="29"/>
      <c r="AY22" s="61"/>
      <c r="AZ22" s="61"/>
      <c r="BA22" s="61"/>
      <c r="BB22" s="28"/>
      <c r="BC22" s="28"/>
    </row>
    <row r="23" spans="1:144" s="14" customFormat="1" x14ac:dyDescent="0.2">
      <c r="A23" s="11" t="s">
        <v>131</v>
      </c>
      <c r="B23" s="9"/>
      <c r="C23" s="23" t="s">
        <v>224</v>
      </c>
      <c r="D23" s="12" t="s">
        <v>176</v>
      </c>
      <c r="E23" s="13">
        <v>0.25</v>
      </c>
      <c r="F23" s="13">
        <v>0.17</v>
      </c>
      <c r="G23" s="13">
        <f t="shared" si="0"/>
        <v>0.11050000000000001</v>
      </c>
      <c r="H23" s="13">
        <f>F23*0.35</f>
        <v>5.9499999999999997E-2</v>
      </c>
      <c r="I23" s="13">
        <v>0.43</v>
      </c>
      <c r="J23" s="15">
        <f t="shared" si="1"/>
        <v>0.43</v>
      </c>
      <c r="K23" s="13">
        <v>1</v>
      </c>
      <c r="L23" s="13">
        <v>1</v>
      </c>
      <c r="M23" s="13">
        <f t="shared" si="4"/>
        <v>0.43</v>
      </c>
      <c r="N23" s="13">
        <v>0.314</v>
      </c>
      <c r="O23" s="16">
        <f t="shared" si="2"/>
        <v>1.4235000000000002</v>
      </c>
      <c r="P23" s="13">
        <v>0.63</v>
      </c>
      <c r="Q23" s="13">
        <v>2.5000000000000001E-2</v>
      </c>
      <c r="R23" s="13">
        <f>Q23*0.651*(2.3+19+49.7)/100</f>
        <v>1.1555250000000001E-2</v>
      </c>
      <c r="S23" s="13">
        <v>0.11</v>
      </c>
      <c r="T23" s="15">
        <f t="shared" si="3"/>
        <v>0.2649999999999999</v>
      </c>
      <c r="U23" s="13">
        <v>1.6E-2</v>
      </c>
      <c r="V23" s="13">
        <v>0.3</v>
      </c>
      <c r="W23" s="22"/>
      <c r="X23" s="22"/>
      <c r="Y23" s="13">
        <v>1.47E-2</v>
      </c>
      <c r="Z23" s="13">
        <v>2.8E-3</v>
      </c>
      <c r="AA23" s="13">
        <v>2.8999999999999998E-3</v>
      </c>
      <c r="AB23" s="13">
        <v>2.3699999999999999E-2</v>
      </c>
      <c r="AC23" s="13">
        <v>2.5999999999999999E-3</v>
      </c>
      <c r="AD23" s="13">
        <v>1E-3</v>
      </c>
      <c r="AE23" s="15">
        <v>6.4999999999999997E-3</v>
      </c>
      <c r="AF23" s="17">
        <v>0.31</v>
      </c>
      <c r="AG23" s="18">
        <v>9</v>
      </c>
      <c r="AH23" s="18">
        <v>44</v>
      </c>
      <c r="AI23" s="18">
        <v>28</v>
      </c>
      <c r="AJ23" s="18">
        <v>0.36</v>
      </c>
      <c r="AK23" s="17">
        <v>0.16</v>
      </c>
      <c r="AL23" s="39"/>
      <c r="AM23" s="46"/>
      <c r="AN23" s="46"/>
      <c r="AO23" s="46"/>
      <c r="AP23" s="39"/>
      <c r="AQ23" s="39"/>
      <c r="AR23" s="39"/>
      <c r="AS23" s="30"/>
      <c r="AT23" s="29"/>
      <c r="AU23" s="29"/>
      <c r="AV23" s="29"/>
      <c r="AW23" s="29"/>
      <c r="AX23" s="29"/>
      <c r="AY23" s="61"/>
      <c r="AZ23" s="61"/>
      <c r="BA23" s="61"/>
      <c r="BB23" s="28"/>
      <c r="BC23" s="28"/>
    </row>
    <row r="24" spans="1:144" s="14" customFormat="1" x14ac:dyDescent="0.2">
      <c r="A24" s="19" t="s">
        <v>96</v>
      </c>
      <c r="B24" s="9"/>
      <c r="C24" s="23" t="s">
        <v>224</v>
      </c>
      <c r="D24" s="5" t="s">
        <v>176</v>
      </c>
      <c r="E24" s="45">
        <v>0.74</v>
      </c>
      <c r="F24" s="45">
        <v>2.1700000000000001E-2</v>
      </c>
      <c r="G24" s="45">
        <v>0</v>
      </c>
      <c r="H24" s="45">
        <v>0</v>
      </c>
      <c r="I24" s="45">
        <v>0.85</v>
      </c>
      <c r="J24" s="15">
        <f t="shared" si="1"/>
        <v>0.85</v>
      </c>
      <c r="K24" s="13">
        <v>1</v>
      </c>
      <c r="L24" s="13">
        <v>0</v>
      </c>
      <c r="M24" s="45">
        <f t="shared" si="4"/>
        <v>0.85</v>
      </c>
      <c r="N24" s="45">
        <v>0.62</v>
      </c>
      <c r="O24" s="16">
        <f t="shared" ref="O24:O48" si="15">(0.0245*P24*100)-0.12</f>
        <v>0.14998999999999996</v>
      </c>
      <c r="P24" s="45">
        <v>0.11019999999999996</v>
      </c>
      <c r="Q24" s="45">
        <v>2E-3</v>
      </c>
      <c r="R24" s="45"/>
      <c r="S24" s="45">
        <v>1.61E-2</v>
      </c>
      <c r="T24" s="15">
        <f t="shared" si="3"/>
        <v>0.11019999999999996</v>
      </c>
      <c r="U24" s="42"/>
      <c r="V24" s="42"/>
      <c r="W24" s="45"/>
      <c r="X24" s="45"/>
      <c r="Y24" s="45">
        <v>0</v>
      </c>
      <c r="Z24" s="45">
        <v>0</v>
      </c>
      <c r="AA24" s="45">
        <v>0</v>
      </c>
      <c r="AB24" s="45">
        <v>0</v>
      </c>
      <c r="AC24" s="45">
        <v>0</v>
      </c>
      <c r="AD24" s="45">
        <v>0</v>
      </c>
      <c r="AE24" s="45">
        <v>0</v>
      </c>
      <c r="AF24" s="39">
        <v>0</v>
      </c>
      <c r="AG24" s="39">
        <v>0</v>
      </c>
      <c r="AH24" s="39">
        <v>0</v>
      </c>
      <c r="AI24" s="39"/>
      <c r="AJ24" s="39"/>
      <c r="AK24" s="39">
        <v>0</v>
      </c>
      <c r="AL24" s="39">
        <v>0</v>
      </c>
      <c r="AM24" s="39"/>
      <c r="AN24" s="39"/>
      <c r="AO24" s="39"/>
      <c r="AP24" s="39"/>
      <c r="AQ24" s="39"/>
      <c r="AR24" s="39"/>
      <c r="AS24" s="30"/>
      <c r="AT24" s="29"/>
      <c r="AU24" s="29"/>
      <c r="AV24" s="29"/>
      <c r="AW24" s="29"/>
      <c r="AX24" s="29"/>
      <c r="AY24" s="61"/>
      <c r="AZ24" s="61"/>
      <c r="BA24" s="61"/>
      <c r="BB24" s="28"/>
      <c r="BC24" s="28"/>
    </row>
    <row r="25" spans="1:144" s="14" customFormat="1" x14ac:dyDescent="0.2">
      <c r="A25" s="8" t="s">
        <v>98</v>
      </c>
      <c r="B25" s="9"/>
      <c r="C25" s="23" t="s">
        <v>224</v>
      </c>
      <c r="D25" s="5" t="s">
        <v>176</v>
      </c>
      <c r="E25" s="13">
        <v>0.3</v>
      </c>
      <c r="F25" s="13">
        <v>2.5000000000000001E-2</v>
      </c>
      <c r="G25" s="13">
        <f t="shared" ref="G25:G46" si="16">F25-H25</f>
        <v>2.5000000000000001E-2</v>
      </c>
      <c r="H25" s="13">
        <v>0</v>
      </c>
      <c r="I25" s="13">
        <v>0.5</v>
      </c>
      <c r="J25" s="15">
        <f t="shared" si="1"/>
        <v>0.5</v>
      </c>
      <c r="K25" s="13">
        <v>1</v>
      </c>
      <c r="L25" s="13">
        <v>0</v>
      </c>
      <c r="M25" s="13">
        <f t="shared" si="4"/>
        <v>0.5</v>
      </c>
      <c r="N25" s="13">
        <v>0.36</v>
      </c>
      <c r="O25" s="16">
        <f t="shared" si="15"/>
        <v>1.3010000000000002</v>
      </c>
      <c r="P25" s="13">
        <v>0.57999999999999996</v>
      </c>
      <c r="Q25" s="13">
        <v>8.9999999999999993E-3</v>
      </c>
      <c r="R25" s="15"/>
      <c r="S25" s="13">
        <v>4.1000000000000002E-2</v>
      </c>
      <c r="T25" s="15">
        <f t="shared" si="3"/>
        <v>0.42499999999999993</v>
      </c>
      <c r="U25" s="13">
        <v>0</v>
      </c>
      <c r="V25" s="13">
        <v>0</v>
      </c>
      <c r="W25" s="42"/>
      <c r="X25" s="42"/>
      <c r="Y25" s="47">
        <v>7.000000000000001E-4</v>
      </c>
      <c r="Z25" s="47">
        <v>5.0000000000000001E-4</v>
      </c>
      <c r="AA25" s="47">
        <v>1E-3</v>
      </c>
      <c r="AB25" s="47">
        <v>2.06E-2</v>
      </c>
      <c r="AC25" s="47">
        <v>1.8E-3</v>
      </c>
      <c r="AD25" s="47">
        <v>1E-4</v>
      </c>
      <c r="AE25" s="47">
        <v>0</v>
      </c>
      <c r="AF25" s="44">
        <v>0</v>
      </c>
      <c r="AG25" s="44">
        <v>0</v>
      </c>
      <c r="AH25" s="44">
        <v>0</v>
      </c>
      <c r="AI25" s="44">
        <v>0</v>
      </c>
      <c r="AJ25" s="44">
        <v>0</v>
      </c>
      <c r="AK25" s="44"/>
      <c r="AL25" s="44"/>
      <c r="AM25" s="44"/>
      <c r="AN25" s="44"/>
      <c r="AO25" s="44"/>
      <c r="AP25" s="44"/>
      <c r="AQ25" s="44"/>
      <c r="AR25" s="44"/>
      <c r="AS25" s="30"/>
      <c r="AT25" s="29"/>
      <c r="AU25" s="29"/>
      <c r="AV25" s="29"/>
      <c r="AW25" s="29"/>
      <c r="AX25" s="29"/>
      <c r="AY25" s="61"/>
      <c r="AZ25" s="61"/>
      <c r="BA25" s="61"/>
      <c r="BB25" s="28"/>
      <c r="BC25" s="28"/>
    </row>
    <row r="26" spans="1:144" s="14" customFormat="1" x14ac:dyDescent="0.2">
      <c r="A26" s="11" t="s">
        <v>126</v>
      </c>
      <c r="B26" s="9"/>
      <c r="C26" s="23" t="s">
        <v>224</v>
      </c>
      <c r="D26" s="12" t="s">
        <v>176</v>
      </c>
      <c r="E26" s="13">
        <v>0.91</v>
      </c>
      <c r="F26" s="13">
        <v>0.14699999999999999</v>
      </c>
      <c r="G26" s="13">
        <f t="shared" si="16"/>
        <v>0.11024999999999999</v>
      </c>
      <c r="H26" s="13">
        <f>F26*0.25</f>
        <v>3.6749999999999998E-2</v>
      </c>
      <c r="I26" s="13">
        <v>0.56999999999999995</v>
      </c>
      <c r="J26" s="15">
        <f t="shared" si="1"/>
        <v>0.56999999999999995</v>
      </c>
      <c r="K26" s="13">
        <v>1</v>
      </c>
      <c r="L26" s="13">
        <v>1</v>
      </c>
      <c r="M26" s="13">
        <f t="shared" si="4"/>
        <v>0.56999999999999995</v>
      </c>
      <c r="N26" s="13">
        <v>0.36399999999999999</v>
      </c>
      <c r="O26" s="16">
        <f t="shared" si="15"/>
        <v>1.35</v>
      </c>
      <c r="P26" s="13">
        <v>0.6</v>
      </c>
      <c r="Q26" s="13">
        <v>4.9000000000000002E-2</v>
      </c>
      <c r="R26" s="22">
        <f>Q26*0.24*(5.1+19.1+39.1)/100</f>
        <v>7.4440800000000005E-3</v>
      </c>
      <c r="S26" s="13">
        <v>8.7999999999999995E-2</v>
      </c>
      <c r="T26" s="15">
        <f t="shared" ref="T26:T46" si="17">1-(I26+Q26+S26+F26)</f>
        <v>0.14600000000000002</v>
      </c>
      <c r="U26" s="13">
        <v>2.8000000000000001E-2</v>
      </c>
      <c r="V26" s="13">
        <v>0.3</v>
      </c>
      <c r="W26" s="22"/>
      <c r="X26" s="22"/>
      <c r="Y26" s="13">
        <v>6.6E-3</v>
      </c>
      <c r="Z26" s="13">
        <v>2.8999999999999998E-3</v>
      </c>
      <c r="AA26" s="13">
        <v>2.3E-3</v>
      </c>
      <c r="AB26" s="13">
        <v>2.1299999999999999E-2</v>
      </c>
      <c r="AC26" s="13">
        <v>2.3999999999999998E-3</v>
      </c>
      <c r="AD26" s="13">
        <v>8.0000000000000004E-4</v>
      </c>
      <c r="AE26" s="15">
        <v>9.1999999999999998E-3</v>
      </c>
      <c r="AF26" s="17"/>
      <c r="AG26" s="18">
        <v>9</v>
      </c>
      <c r="AH26" s="18">
        <v>72</v>
      </c>
      <c r="AI26" s="18">
        <v>25</v>
      </c>
      <c r="AJ26" s="18">
        <v>0.06</v>
      </c>
      <c r="AK26" s="17"/>
      <c r="AL26" s="17"/>
      <c r="AM26" s="46"/>
      <c r="AN26" s="46"/>
      <c r="AO26" s="46"/>
      <c r="AP26" s="39"/>
      <c r="AQ26" s="39"/>
      <c r="AR26" s="39"/>
      <c r="AS26" s="30"/>
      <c r="AT26" s="29"/>
      <c r="AU26" s="29"/>
      <c r="AV26" s="29"/>
      <c r="AW26" s="29"/>
      <c r="AX26" s="29"/>
      <c r="AY26" s="61"/>
      <c r="AZ26" s="61"/>
      <c r="BA26" s="61"/>
      <c r="BB26" s="28"/>
      <c r="BC26" s="28"/>
    </row>
    <row r="27" spans="1:144" s="14" customFormat="1" x14ac:dyDescent="0.2">
      <c r="A27" s="11" t="s">
        <v>127</v>
      </c>
      <c r="B27" s="9"/>
      <c r="C27" s="23" t="s">
        <v>224</v>
      </c>
      <c r="D27" s="12" t="s">
        <v>176</v>
      </c>
      <c r="E27" s="13">
        <v>0.3</v>
      </c>
      <c r="F27" s="13">
        <v>0.18</v>
      </c>
      <c r="G27" s="13">
        <f t="shared" si="16"/>
        <v>0.14399999999999999</v>
      </c>
      <c r="H27" s="13">
        <f>F27*0.2</f>
        <v>3.5999999999999997E-2</v>
      </c>
      <c r="I27" s="13">
        <v>0.48</v>
      </c>
      <c r="J27" s="15">
        <f t="shared" si="1"/>
        <v>0.41567999999999999</v>
      </c>
      <c r="K27" s="13">
        <v>0.8</v>
      </c>
      <c r="L27" s="13">
        <v>0.5</v>
      </c>
      <c r="M27" s="13">
        <f t="shared" si="4"/>
        <v>0.48</v>
      </c>
      <c r="N27" s="13">
        <v>0.311</v>
      </c>
      <c r="O27" s="16">
        <f t="shared" si="15"/>
        <v>1.399</v>
      </c>
      <c r="P27" s="13">
        <v>0.62</v>
      </c>
      <c r="Q27" s="13">
        <v>4.9000000000000002E-2</v>
      </c>
      <c r="R27" s="22">
        <f>Q27*0.24*(5.1+19.1+39.1)/100</f>
        <v>7.4440800000000005E-3</v>
      </c>
      <c r="S27" s="13">
        <v>8.1000000000000003E-2</v>
      </c>
      <c r="T27" s="15">
        <f t="shared" si="17"/>
        <v>0.20999999999999996</v>
      </c>
      <c r="U27" s="13">
        <v>0.04</v>
      </c>
      <c r="V27" s="13">
        <v>0.3</v>
      </c>
      <c r="W27" s="22"/>
      <c r="X27" s="22"/>
      <c r="Y27" s="13">
        <v>5.4999999999999997E-3</v>
      </c>
      <c r="Z27" s="13">
        <v>2.8999999999999998E-3</v>
      </c>
      <c r="AA27" s="13">
        <v>2.3E-3</v>
      </c>
      <c r="AB27" s="13">
        <v>2.5399999999999999E-2</v>
      </c>
      <c r="AC27" s="13">
        <v>2.0999999999999999E-3</v>
      </c>
      <c r="AD27" s="13">
        <v>5.0000000000000001E-4</v>
      </c>
      <c r="AE27" s="15">
        <v>6.7000000000000002E-3</v>
      </c>
      <c r="AF27" s="17"/>
      <c r="AG27" s="18">
        <v>9</v>
      </c>
      <c r="AH27" s="18">
        <v>74</v>
      </c>
      <c r="AI27" s="18">
        <v>30</v>
      </c>
      <c r="AJ27" s="18">
        <v>0.09</v>
      </c>
      <c r="AK27" s="17"/>
      <c r="AL27" s="17"/>
      <c r="AM27" s="46"/>
      <c r="AN27" s="46"/>
      <c r="AO27" s="46"/>
      <c r="AP27" s="39"/>
      <c r="AQ27" s="39"/>
      <c r="AR27" s="39"/>
      <c r="AS27" s="30"/>
      <c r="AT27" s="29"/>
      <c r="AU27" s="29"/>
      <c r="AV27" s="29"/>
      <c r="AW27" s="29"/>
      <c r="AX27" s="29"/>
      <c r="AY27" s="61"/>
      <c r="AZ27" s="61"/>
      <c r="BA27" s="61"/>
      <c r="BB27" s="63"/>
      <c r="BC27" s="63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</row>
    <row r="28" spans="1:144" s="14" customFormat="1" x14ac:dyDescent="0.2">
      <c r="A28" s="11" t="s">
        <v>128</v>
      </c>
      <c r="B28" s="9"/>
      <c r="C28" s="23" t="s">
        <v>224</v>
      </c>
      <c r="D28" s="12" t="s">
        <v>176</v>
      </c>
      <c r="E28" s="13">
        <v>0.25</v>
      </c>
      <c r="F28" s="13">
        <v>0.21</v>
      </c>
      <c r="G28" s="13">
        <f t="shared" si="16"/>
        <v>0.13650000000000001</v>
      </c>
      <c r="H28" s="13">
        <f>F28*0.35</f>
        <v>7.3499999999999996E-2</v>
      </c>
      <c r="I28" s="13">
        <v>0.45</v>
      </c>
      <c r="J28" s="15">
        <f t="shared" si="1"/>
        <v>0.45</v>
      </c>
      <c r="K28" s="13">
        <v>1</v>
      </c>
      <c r="L28" s="13">
        <v>1</v>
      </c>
      <c r="M28" s="13">
        <f t="shared" si="4"/>
        <v>0.45</v>
      </c>
      <c r="N28" s="13">
        <v>0.3</v>
      </c>
      <c r="O28" s="16">
        <f t="shared" si="15"/>
        <v>1.448</v>
      </c>
      <c r="P28" s="13">
        <v>0.64</v>
      </c>
      <c r="Q28" s="13">
        <v>0.05</v>
      </c>
      <c r="R28" s="22">
        <f>Q28*0.24*(5.1+19.1+39.1)/100</f>
        <v>7.5960000000000003E-3</v>
      </c>
      <c r="S28" s="13">
        <v>9.9000000000000005E-2</v>
      </c>
      <c r="T28" s="15">
        <f t="shared" si="17"/>
        <v>0.19100000000000006</v>
      </c>
      <c r="U28" s="13">
        <v>0.04</v>
      </c>
      <c r="V28" s="13">
        <v>0.3</v>
      </c>
      <c r="W28" s="22"/>
      <c r="X28" s="22"/>
      <c r="Y28" s="13">
        <v>5.7000000000000002E-3</v>
      </c>
      <c r="Z28" s="13">
        <v>3.5999999999999999E-3</v>
      </c>
      <c r="AA28" s="13">
        <v>2.2000000000000001E-3</v>
      </c>
      <c r="AB28" s="13">
        <v>3.1099999999999999E-2</v>
      </c>
      <c r="AC28" s="13">
        <v>2.0999999999999999E-3</v>
      </c>
      <c r="AD28" s="13">
        <v>5.0000000000000001E-4</v>
      </c>
      <c r="AE28" s="15">
        <v>6.7000000000000002E-3</v>
      </c>
      <c r="AF28" s="17"/>
      <c r="AG28" s="18">
        <v>9</v>
      </c>
      <c r="AH28" s="18">
        <v>56</v>
      </c>
      <c r="AI28" s="18">
        <v>31</v>
      </c>
      <c r="AJ28" s="18"/>
      <c r="AK28" s="17"/>
      <c r="AL28" s="17"/>
      <c r="AM28" s="46"/>
      <c r="AN28" s="46"/>
      <c r="AO28" s="46"/>
      <c r="AP28" s="39"/>
      <c r="AQ28" s="39"/>
      <c r="AR28" s="39"/>
      <c r="AS28" s="30"/>
      <c r="AT28" s="29"/>
      <c r="AU28" s="29"/>
      <c r="AV28" s="29"/>
      <c r="AW28" s="29"/>
      <c r="AX28" s="29"/>
      <c r="AY28" s="61"/>
      <c r="AZ28" s="61"/>
      <c r="BA28" s="61"/>
      <c r="BB28" s="28"/>
      <c r="BC28" s="28"/>
    </row>
    <row r="29" spans="1:144" s="14" customFormat="1" x14ac:dyDescent="0.2">
      <c r="A29" s="11" t="s">
        <v>116</v>
      </c>
      <c r="B29" s="9"/>
      <c r="C29" s="23" t="s">
        <v>224</v>
      </c>
      <c r="D29" s="12" t="s">
        <v>176</v>
      </c>
      <c r="E29" s="13">
        <v>0.25</v>
      </c>
      <c r="F29" s="13">
        <v>0.09</v>
      </c>
      <c r="G29" s="13">
        <f t="shared" si="16"/>
        <v>7.1999999999999995E-2</v>
      </c>
      <c r="H29" s="13">
        <f>F29*0.2</f>
        <v>1.7999999999999999E-2</v>
      </c>
      <c r="I29" s="13">
        <v>0.7</v>
      </c>
      <c r="J29" s="15">
        <f t="shared" si="1"/>
        <v>0.65310000000000001</v>
      </c>
      <c r="K29" s="13">
        <v>0.9</v>
      </c>
      <c r="L29" s="13">
        <v>0.1</v>
      </c>
      <c r="M29" s="13">
        <f t="shared" si="4"/>
        <v>0.7</v>
      </c>
      <c r="N29" s="13">
        <v>0.45</v>
      </c>
      <c r="O29" s="16">
        <f t="shared" si="15"/>
        <v>1.2275</v>
      </c>
      <c r="P29" s="13">
        <v>0.55000000000000004</v>
      </c>
      <c r="Q29" s="13">
        <v>2.3E-2</v>
      </c>
      <c r="R29" s="22">
        <f>Q29*0.462*(3.8+20+44.3)/100</f>
        <v>7.2363059999999988E-3</v>
      </c>
      <c r="S29" s="13">
        <v>6.5000000000000002E-2</v>
      </c>
      <c r="T29" s="15">
        <f t="shared" si="17"/>
        <v>0.122</v>
      </c>
      <c r="U29" s="13">
        <v>0.02</v>
      </c>
      <c r="V29" s="13">
        <v>0.2</v>
      </c>
      <c r="W29" s="42"/>
      <c r="X29" s="42"/>
      <c r="Y29" s="15">
        <v>3.8999999999999998E-3</v>
      </c>
      <c r="Z29" s="15">
        <v>2.2000000000000001E-3</v>
      </c>
      <c r="AA29" s="15">
        <v>1.5E-3</v>
      </c>
      <c r="AB29" s="15">
        <v>1.4E-2</v>
      </c>
      <c r="AC29" s="15">
        <v>3.8E-3</v>
      </c>
      <c r="AD29" s="15">
        <v>1.4E-3</v>
      </c>
      <c r="AE29" s="13">
        <v>5.4000000000000003E-3</v>
      </c>
      <c r="AF29" s="18"/>
      <c r="AG29" s="18">
        <v>8</v>
      </c>
      <c r="AH29" s="18">
        <v>62</v>
      </c>
      <c r="AI29" s="18">
        <v>32</v>
      </c>
      <c r="AJ29" s="18"/>
      <c r="AK29" s="44"/>
      <c r="AL29" s="44"/>
      <c r="AM29" s="44"/>
      <c r="AN29" s="44"/>
      <c r="AO29" s="44"/>
      <c r="AP29" s="44"/>
      <c r="AQ29" s="44"/>
      <c r="AR29" s="44"/>
      <c r="AS29" s="30"/>
      <c r="AT29" s="29"/>
      <c r="AU29" s="29"/>
      <c r="AV29" s="29"/>
      <c r="AW29" s="29"/>
      <c r="AX29" s="29"/>
      <c r="AY29" s="61"/>
      <c r="AZ29" s="61"/>
      <c r="BA29" s="61"/>
      <c r="BB29" s="28"/>
      <c r="BC29" s="28"/>
    </row>
    <row r="30" spans="1:144" s="14" customFormat="1" x14ac:dyDescent="0.2">
      <c r="A30" s="11" t="s">
        <v>117</v>
      </c>
      <c r="B30" s="9"/>
      <c r="C30" s="23" t="s">
        <v>224</v>
      </c>
      <c r="D30" s="5" t="s">
        <v>176</v>
      </c>
      <c r="E30" s="13">
        <v>0.22</v>
      </c>
      <c r="F30" s="13">
        <v>0.14000000000000001</v>
      </c>
      <c r="G30" s="13">
        <f t="shared" si="16"/>
        <v>9.8000000000000004E-2</v>
      </c>
      <c r="H30" s="13">
        <f>F30*0.3</f>
        <v>4.2000000000000003E-2</v>
      </c>
      <c r="I30" s="13">
        <v>0.65</v>
      </c>
      <c r="J30" s="15">
        <f t="shared" si="1"/>
        <v>0.49757500000000005</v>
      </c>
      <c r="K30" s="13">
        <v>0.65</v>
      </c>
      <c r="L30" s="13">
        <v>0.03</v>
      </c>
      <c r="M30" s="13">
        <f t="shared" si="4"/>
        <v>0.65</v>
      </c>
      <c r="N30" s="13">
        <v>0.42</v>
      </c>
      <c r="O30" s="16">
        <f t="shared" si="15"/>
        <v>1.35</v>
      </c>
      <c r="P30" s="22">
        <v>0.6</v>
      </c>
      <c r="Q30" s="13">
        <v>2.5999999999999999E-2</v>
      </c>
      <c r="R30" s="22">
        <f>Q30*0.462*(3.8+20+44.3)/100</f>
        <v>8.1801719999999994E-3</v>
      </c>
      <c r="S30" s="13">
        <v>0.06</v>
      </c>
      <c r="T30" s="15">
        <f t="shared" si="17"/>
        <v>0.124</v>
      </c>
      <c r="U30" s="13">
        <v>2.4E-2</v>
      </c>
      <c r="V30" s="13">
        <v>0.2</v>
      </c>
      <c r="W30" s="42"/>
      <c r="X30" s="42"/>
      <c r="Y30" s="15">
        <v>3.8999999999999998E-3</v>
      </c>
      <c r="Z30" s="15">
        <v>2.2000000000000001E-3</v>
      </c>
      <c r="AA30" s="15">
        <v>1.5E-3</v>
      </c>
      <c r="AB30" s="15">
        <v>1.4E-2</v>
      </c>
      <c r="AC30" s="15">
        <v>3.8E-3</v>
      </c>
      <c r="AD30" s="15">
        <v>1.4E-3</v>
      </c>
      <c r="AE30" s="13">
        <v>5.4000000000000003E-3</v>
      </c>
      <c r="AF30" s="18"/>
      <c r="AG30" s="18">
        <v>8</v>
      </c>
      <c r="AH30" s="18">
        <v>62</v>
      </c>
      <c r="AI30" s="18">
        <v>32</v>
      </c>
      <c r="AJ30" s="18"/>
      <c r="AK30" s="44"/>
      <c r="AL30" s="44"/>
      <c r="AM30" s="44"/>
      <c r="AN30" s="44"/>
      <c r="AO30" s="44"/>
      <c r="AP30" s="44"/>
      <c r="AQ30" s="44"/>
      <c r="AR30" s="44"/>
      <c r="AS30" s="28"/>
      <c r="AT30" s="29"/>
      <c r="AU30" s="29"/>
      <c r="AV30" s="29"/>
      <c r="AW30" s="29"/>
      <c r="AX30" s="29"/>
      <c r="AY30" s="61"/>
      <c r="AZ30" s="61"/>
      <c r="BA30" s="61"/>
      <c r="BB30" s="28"/>
      <c r="BC30" s="28"/>
    </row>
    <row r="31" spans="1:144" s="14" customFormat="1" x14ac:dyDescent="0.2">
      <c r="A31" s="11" t="s">
        <v>118</v>
      </c>
      <c r="B31" s="9"/>
      <c r="C31" s="23" t="s">
        <v>224</v>
      </c>
      <c r="D31" s="5" t="s">
        <v>176</v>
      </c>
      <c r="E31" s="13">
        <v>0.3</v>
      </c>
      <c r="F31" s="13">
        <v>0.05</v>
      </c>
      <c r="G31" s="13">
        <f t="shared" si="16"/>
        <v>0.05</v>
      </c>
      <c r="H31" s="13">
        <v>0</v>
      </c>
      <c r="I31" s="13">
        <v>0.8</v>
      </c>
      <c r="J31" s="15">
        <f t="shared" si="1"/>
        <v>0.63919999999999999</v>
      </c>
      <c r="K31" s="13">
        <v>0.7</v>
      </c>
      <c r="L31" s="13">
        <v>0.05</v>
      </c>
      <c r="M31" s="13">
        <f t="shared" si="4"/>
        <v>0.8</v>
      </c>
      <c r="N31" s="13">
        <v>0.51</v>
      </c>
      <c r="O31" s="16">
        <f t="shared" si="15"/>
        <v>1.105</v>
      </c>
      <c r="P31" s="22">
        <v>0.5</v>
      </c>
      <c r="Q31" s="13">
        <v>1.6E-2</v>
      </c>
      <c r="R31" s="22">
        <f>Q31*0.462*(3.8+20+44.3)/100</f>
        <v>5.0339519999999995E-3</v>
      </c>
      <c r="S31" s="13">
        <v>0.08</v>
      </c>
      <c r="T31" s="15">
        <f t="shared" si="17"/>
        <v>5.3999999999999937E-2</v>
      </c>
      <c r="U31" s="13">
        <v>0</v>
      </c>
      <c r="V31" s="13">
        <v>0</v>
      </c>
      <c r="W31" s="42"/>
      <c r="X31" s="42"/>
      <c r="Y31" s="15">
        <v>2E-3</v>
      </c>
      <c r="Z31" s="15">
        <v>1E-3</v>
      </c>
      <c r="AA31" s="15">
        <v>1E-3</v>
      </c>
      <c r="AB31" s="15">
        <v>8.9999999999999993E-3</v>
      </c>
      <c r="AC31" s="15">
        <v>2E-3</v>
      </c>
      <c r="AD31" s="15">
        <v>0</v>
      </c>
      <c r="AE31" s="13">
        <v>0</v>
      </c>
      <c r="AF31" s="18"/>
      <c r="AG31" s="18">
        <v>5</v>
      </c>
      <c r="AH31" s="18">
        <v>50</v>
      </c>
      <c r="AI31" s="18">
        <v>25</v>
      </c>
      <c r="AJ31" s="18"/>
      <c r="AK31" s="44"/>
      <c r="AL31" s="44"/>
      <c r="AM31" s="44"/>
      <c r="AN31" s="44"/>
      <c r="AO31" s="44"/>
      <c r="AP31" s="44"/>
      <c r="AQ31" s="44"/>
      <c r="AR31" s="44"/>
      <c r="AS31" s="28"/>
      <c r="AT31" s="29"/>
      <c r="AU31" s="29"/>
      <c r="AV31" s="29"/>
      <c r="AW31" s="29"/>
      <c r="AX31" s="29"/>
      <c r="AY31" s="61"/>
      <c r="AZ31" s="61"/>
      <c r="BA31" s="61"/>
      <c r="BB31" s="28"/>
      <c r="BC31" s="28"/>
    </row>
    <row r="32" spans="1:144" s="14" customFormat="1" x14ac:dyDescent="0.2">
      <c r="A32" s="11" t="s">
        <v>119</v>
      </c>
      <c r="B32" s="9"/>
      <c r="C32" s="23" t="s">
        <v>224</v>
      </c>
      <c r="D32" s="12" t="s">
        <v>176</v>
      </c>
      <c r="E32" s="13">
        <v>0.22</v>
      </c>
      <c r="F32" s="13">
        <v>0.24</v>
      </c>
      <c r="G32" s="13">
        <f t="shared" si="16"/>
        <v>0.156</v>
      </c>
      <c r="H32" s="13">
        <f>F32*0.35</f>
        <v>8.3999999999999991E-2</v>
      </c>
      <c r="I32" s="13">
        <v>0.4</v>
      </c>
      <c r="J32" s="15">
        <f t="shared" si="1"/>
        <v>0.4</v>
      </c>
      <c r="K32" s="13">
        <v>1</v>
      </c>
      <c r="L32" s="13">
        <v>1</v>
      </c>
      <c r="M32" s="13">
        <f t="shared" si="4"/>
        <v>0.4</v>
      </c>
      <c r="N32" s="13">
        <v>0.25</v>
      </c>
      <c r="O32" s="16">
        <f t="shared" si="15"/>
        <v>1.4725000000000001</v>
      </c>
      <c r="P32" s="13">
        <v>0.65</v>
      </c>
      <c r="Q32" s="13">
        <v>0.05</v>
      </c>
      <c r="R32" s="22">
        <f>Q32*0.24*(5.1+19.1+39.1)/100</f>
        <v>7.5960000000000003E-3</v>
      </c>
      <c r="S32" s="13">
        <v>9.8000000000000004E-2</v>
      </c>
      <c r="T32" s="15">
        <f t="shared" si="17"/>
        <v>0.21199999999999997</v>
      </c>
      <c r="U32" s="13">
        <v>0.04</v>
      </c>
      <c r="V32" s="13">
        <v>0.3</v>
      </c>
      <c r="W32" s="42"/>
      <c r="X32" s="42"/>
      <c r="Y32" s="13">
        <v>5.5999999999999999E-3</v>
      </c>
      <c r="Z32" s="13">
        <v>4.4000000000000003E-3</v>
      </c>
      <c r="AA32" s="13">
        <v>2E-3</v>
      </c>
      <c r="AB32" s="13">
        <v>3.3599999999999998E-2</v>
      </c>
      <c r="AC32" s="13">
        <v>2E-3</v>
      </c>
      <c r="AD32" s="13">
        <v>2.0000000000000001E-4</v>
      </c>
      <c r="AE32" s="15">
        <v>5.5999999999999999E-3</v>
      </c>
      <c r="AF32" s="17"/>
      <c r="AG32" s="18">
        <v>10</v>
      </c>
      <c r="AH32" s="18">
        <v>75</v>
      </c>
      <c r="AI32" s="18">
        <v>36</v>
      </c>
      <c r="AJ32" s="18"/>
      <c r="AK32" s="44"/>
      <c r="AL32" s="44"/>
      <c r="AM32" s="44"/>
      <c r="AN32" s="44"/>
      <c r="AO32" s="44"/>
      <c r="AP32" s="44"/>
      <c r="AQ32" s="44"/>
      <c r="AR32" s="44"/>
      <c r="AS32" s="28"/>
      <c r="AT32" s="29"/>
      <c r="AU32" s="29"/>
      <c r="AV32" s="29"/>
      <c r="AW32" s="29"/>
      <c r="AX32" s="29"/>
      <c r="AY32" s="61"/>
      <c r="AZ32" s="61"/>
      <c r="BA32" s="61"/>
      <c r="BB32" s="28"/>
      <c r="BC32" s="28"/>
    </row>
    <row r="33" spans="1:55" s="14" customFormat="1" x14ac:dyDescent="0.2">
      <c r="A33" s="11" t="s">
        <v>298</v>
      </c>
      <c r="B33" s="9"/>
      <c r="C33" s="23" t="s">
        <v>224</v>
      </c>
      <c r="D33" s="12" t="s">
        <v>176</v>
      </c>
      <c r="E33" s="13">
        <v>0.22</v>
      </c>
      <c r="F33" s="13">
        <v>0.24</v>
      </c>
      <c r="G33" s="13">
        <f t="shared" ref="G33" si="18">F33-H33</f>
        <v>0.156</v>
      </c>
      <c r="H33" s="13">
        <f>F33*0.35</f>
        <v>8.3999999999999991E-2</v>
      </c>
      <c r="I33" s="13">
        <v>0.4</v>
      </c>
      <c r="J33" s="15">
        <f t="shared" ref="J33" si="19">(I33*K33)+(I33*(1-K33)*0.33)</f>
        <v>0.4</v>
      </c>
      <c r="K33" s="13">
        <v>1</v>
      </c>
      <c r="L33" s="13">
        <v>1</v>
      </c>
      <c r="M33" s="13">
        <f t="shared" ref="M33" si="20">IF(D33="C", 0,I33)</f>
        <v>0.4</v>
      </c>
      <c r="N33" s="13">
        <v>0.25</v>
      </c>
      <c r="O33" s="16">
        <f t="shared" ref="O33" si="21">(0.0245*P33*100)-0.12</f>
        <v>1.4725000000000001</v>
      </c>
      <c r="P33" s="13">
        <v>0.65</v>
      </c>
      <c r="Q33" s="13">
        <v>0.05</v>
      </c>
      <c r="R33" s="22">
        <f>Q33*0.24*(5.1+19.1+39.1)/100</f>
        <v>7.5960000000000003E-3</v>
      </c>
      <c r="S33" s="13">
        <v>9.8000000000000004E-2</v>
      </c>
      <c r="T33" s="15">
        <f t="shared" ref="T33" si="22">1-(I33+Q33+S33+F33)</f>
        <v>0.21199999999999997</v>
      </c>
      <c r="U33" s="13">
        <v>0.04</v>
      </c>
      <c r="V33" s="13">
        <v>0.3</v>
      </c>
      <c r="W33" s="42"/>
      <c r="X33" s="42"/>
      <c r="Y33" s="13">
        <v>5.5999999999999999E-3</v>
      </c>
      <c r="Z33" s="13">
        <v>4.4000000000000003E-3</v>
      </c>
      <c r="AA33" s="13">
        <v>2E-3</v>
      </c>
      <c r="AB33" s="13">
        <v>3.3599999999999998E-2</v>
      </c>
      <c r="AC33" s="13">
        <v>2E-3</v>
      </c>
      <c r="AD33" s="13">
        <v>2.0000000000000001E-4</v>
      </c>
      <c r="AE33" s="15">
        <v>5.5999999999999999E-3</v>
      </c>
      <c r="AF33" s="17"/>
      <c r="AG33" s="18">
        <v>10</v>
      </c>
      <c r="AH33" s="18">
        <v>75</v>
      </c>
      <c r="AI33" s="18">
        <v>36</v>
      </c>
      <c r="AJ33" s="18"/>
      <c r="AK33" s="44"/>
      <c r="AL33" s="44"/>
      <c r="AM33" s="44"/>
      <c r="AN33" s="44"/>
      <c r="AO33" s="44"/>
      <c r="AP33" s="44"/>
      <c r="AQ33" s="44"/>
      <c r="AR33" s="44"/>
      <c r="AS33" s="28"/>
      <c r="AT33" s="29"/>
      <c r="AU33" s="29"/>
      <c r="AV33" s="29"/>
      <c r="AW33" s="29"/>
      <c r="AX33" s="29"/>
      <c r="AY33" s="61"/>
      <c r="AZ33" s="61"/>
      <c r="BA33" s="61"/>
      <c r="BB33" s="28"/>
      <c r="BC33" s="28"/>
    </row>
    <row r="34" spans="1:55" s="14" customFormat="1" x14ac:dyDescent="0.2">
      <c r="A34" s="11" t="s">
        <v>120</v>
      </c>
      <c r="B34" s="9"/>
      <c r="C34" s="23" t="s">
        <v>224</v>
      </c>
      <c r="D34" s="12" t="s">
        <v>176</v>
      </c>
      <c r="E34" s="13">
        <v>0.27</v>
      </c>
      <c r="F34" s="13">
        <v>0.09</v>
      </c>
      <c r="G34" s="13">
        <f t="shared" si="16"/>
        <v>5.8499999999999996E-2</v>
      </c>
      <c r="H34" s="13">
        <f>F34*0.35</f>
        <v>3.15E-2</v>
      </c>
      <c r="I34" s="13">
        <v>0.6</v>
      </c>
      <c r="J34" s="15">
        <f t="shared" si="1"/>
        <v>0.6</v>
      </c>
      <c r="K34" s="13">
        <v>1</v>
      </c>
      <c r="L34" s="13">
        <v>1</v>
      </c>
      <c r="M34" s="13">
        <f t="shared" si="4"/>
        <v>0.6</v>
      </c>
      <c r="N34" s="13">
        <v>0.4</v>
      </c>
      <c r="O34" s="16">
        <f t="shared" si="15"/>
        <v>1.2275</v>
      </c>
      <c r="P34" s="13">
        <v>0.55000000000000004</v>
      </c>
      <c r="Q34" s="13">
        <v>0.04</v>
      </c>
      <c r="R34" s="22">
        <f>Q34*0.24*(5.1+19.1+39.1)/100</f>
        <v>6.0768000000000003E-3</v>
      </c>
      <c r="S34" s="13">
        <v>7.0000000000000007E-2</v>
      </c>
      <c r="T34" s="15">
        <f t="shared" si="17"/>
        <v>0.20000000000000007</v>
      </c>
      <c r="U34" s="13">
        <v>0.02</v>
      </c>
      <c r="V34" s="13">
        <v>0.3</v>
      </c>
      <c r="W34" s="42"/>
      <c r="X34" s="42"/>
      <c r="Y34" s="13">
        <v>4.7000000000000002E-3</v>
      </c>
      <c r="Z34" s="13">
        <v>2.5999999999999999E-3</v>
      </c>
      <c r="AA34" s="13">
        <v>1.8E-3</v>
      </c>
      <c r="AB34" s="13">
        <v>1.9699999999999999E-2</v>
      </c>
      <c r="AC34" s="13">
        <v>1.6999999999999999E-3</v>
      </c>
      <c r="AD34" s="13">
        <v>2.0000000000000001E-4</v>
      </c>
      <c r="AE34" s="15">
        <v>6.6E-3</v>
      </c>
      <c r="AF34" s="17"/>
      <c r="AG34" s="18">
        <v>8</v>
      </c>
      <c r="AH34" s="18">
        <v>90</v>
      </c>
      <c r="AI34" s="18">
        <v>25</v>
      </c>
      <c r="AJ34" s="18">
        <v>0.06</v>
      </c>
      <c r="AK34" s="44"/>
      <c r="AL34" s="44"/>
      <c r="AM34" s="44"/>
      <c r="AN34" s="44"/>
      <c r="AO34" s="44"/>
      <c r="AP34" s="44"/>
      <c r="AQ34" s="44"/>
      <c r="AR34" s="44"/>
      <c r="AS34" s="28"/>
      <c r="AT34" s="29"/>
      <c r="AU34" s="29"/>
      <c r="AV34" s="29"/>
      <c r="AW34" s="29"/>
      <c r="AX34" s="29"/>
      <c r="AY34" s="61"/>
      <c r="AZ34" s="61"/>
      <c r="BA34" s="61"/>
      <c r="BB34" s="28"/>
      <c r="BC34" s="28"/>
    </row>
    <row r="35" spans="1:55" s="14" customFormat="1" x14ac:dyDescent="0.2">
      <c r="A35" s="11" t="s">
        <v>121</v>
      </c>
      <c r="B35" s="9"/>
      <c r="C35" s="23" t="s">
        <v>224</v>
      </c>
      <c r="D35" s="12" t="s">
        <v>176</v>
      </c>
      <c r="E35" s="15">
        <v>0.2</v>
      </c>
      <c r="F35" s="15">
        <v>0.17</v>
      </c>
      <c r="G35" s="13">
        <f t="shared" si="16"/>
        <v>0.11900000000000001</v>
      </c>
      <c r="H35" s="13">
        <f>F35*0.3</f>
        <v>5.1000000000000004E-2</v>
      </c>
      <c r="I35" s="15">
        <v>0.65</v>
      </c>
      <c r="J35" s="15">
        <f t="shared" si="1"/>
        <v>0.65</v>
      </c>
      <c r="K35" s="13">
        <v>1</v>
      </c>
      <c r="L35" s="13">
        <v>1</v>
      </c>
      <c r="M35" s="13">
        <f t="shared" si="4"/>
        <v>0.65</v>
      </c>
      <c r="N35" s="15">
        <v>0.38</v>
      </c>
      <c r="O35" s="16">
        <f t="shared" si="15"/>
        <v>1.399</v>
      </c>
      <c r="P35" s="22">
        <v>0.62</v>
      </c>
      <c r="Q35" s="15">
        <v>2.1000000000000001E-2</v>
      </c>
      <c r="R35" s="22">
        <f>Q35*0.405*(3.3+18.8+20.8)/100</f>
        <v>3.6486450000000007E-3</v>
      </c>
      <c r="S35" s="15">
        <v>6.5000000000000002E-2</v>
      </c>
      <c r="T35" s="15">
        <f t="shared" si="17"/>
        <v>9.3999999999999972E-2</v>
      </c>
      <c r="U35" s="15">
        <v>0.02</v>
      </c>
      <c r="V35" s="15">
        <v>0.3</v>
      </c>
      <c r="W35" s="42"/>
      <c r="X35" s="42"/>
      <c r="Y35" s="15">
        <v>3.8999999999999998E-3</v>
      </c>
      <c r="Z35" s="15">
        <v>2.2000000000000001E-3</v>
      </c>
      <c r="AA35" s="15">
        <v>1.5E-3</v>
      </c>
      <c r="AB35" s="15">
        <v>2.4E-2</v>
      </c>
      <c r="AC35" s="15">
        <v>3.8E-3</v>
      </c>
      <c r="AD35" s="15">
        <v>1.4E-3</v>
      </c>
      <c r="AE35" s="13">
        <v>5.4000000000000003E-3</v>
      </c>
      <c r="AF35" s="18"/>
      <c r="AG35" s="18">
        <v>8</v>
      </c>
      <c r="AH35" s="18">
        <v>62</v>
      </c>
      <c r="AI35" s="18">
        <v>32</v>
      </c>
      <c r="AJ35" s="18"/>
      <c r="AK35" s="44"/>
      <c r="AL35" s="44"/>
      <c r="AM35" s="44"/>
      <c r="AN35" s="44"/>
      <c r="AO35" s="44"/>
      <c r="AP35" s="44"/>
      <c r="AQ35" s="44"/>
      <c r="AR35" s="44"/>
      <c r="AS35" s="28"/>
      <c r="AT35" s="29"/>
      <c r="AU35" s="29"/>
      <c r="AV35" s="29"/>
      <c r="AW35" s="29"/>
      <c r="AX35" s="29"/>
      <c r="AY35" s="61"/>
      <c r="AZ35" s="61"/>
      <c r="BA35" s="61"/>
      <c r="BB35" s="28"/>
      <c r="BC35" s="28"/>
    </row>
    <row r="36" spans="1:55" s="10" customFormat="1" x14ac:dyDescent="0.2">
      <c r="A36" s="11" t="s">
        <v>122</v>
      </c>
      <c r="B36" s="9"/>
      <c r="C36" s="23" t="s">
        <v>224</v>
      </c>
      <c r="D36" s="5" t="s">
        <v>176</v>
      </c>
      <c r="E36" s="15">
        <v>0.22</v>
      </c>
      <c r="F36" s="15">
        <v>0.1</v>
      </c>
      <c r="G36" s="13">
        <f t="shared" si="16"/>
        <v>0.1</v>
      </c>
      <c r="H36" s="13">
        <v>0</v>
      </c>
      <c r="I36" s="15">
        <v>0.7</v>
      </c>
      <c r="J36" s="15">
        <f t="shared" si="1"/>
        <v>0.7</v>
      </c>
      <c r="K36" s="13">
        <v>1</v>
      </c>
      <c r="L36" s="13">
        <v>1</v>
      </c>
      <c r="M36" s="13">
        <f t="shared" si="4"/>
        <v>0.7</v>
      </c>
      <c r="N36" s="15">
        <v>0.45</v>
      </c>
      <c r="O36" s="16">
        <f t="shared" si="15"/>
        <v>1.3010000000000002</v>
      </c>
      <c r="P36" s="22">
        <v>0.57999999999999996</v>
      </c>
      <c r="Q36" s="15">
        <v>1.4999999999999999E-2</v>
      </c>
      <c r="R36" s="22">
        <f>Q36*0.405*(3.3+18.8+20.8)/100</f>
        <v>2.6061750000000005E-3</v>
      </c>
      <c r="S36" s="15">
        <v>0.09</v>
      </c>
      <c r="T36" s="15">
        <f t="shared" si="17"/>
        <v>9.5000000000000084E-2</v>
      </c>
      <c r="U36" s="15">
        <v>0</v>
      </c>
      <c r="V36" s="15">
        <v>0</v>
      </c>
      <c r="W36" s="42"/>
      <c r="X36" s="42"/>
      <c r="Y36" s="15">
        <v>2E-3</v>
      </c>
      <c r="Z36" s="15">
        <v>1E-3</v>
      </c>
      <c r="AA36" s="15">
        <v>1E-3</v>
      </c>
      <c r="AB36" s="15">
        <v>8.9999999999999993E-3</v>
      </c>
      <c r="AC36" s="15">
        <v>2E-3</v>
      </c>
      <c r="AD36" s="15">
        <v>0</v>
      </c>
      <c r="AE36" s="13">
        <v>0</v>
      </c>
      <c r="AF36" s="18"/>
      <c r="AG36" s="18">
        <v>5</v>
      </c>
      <c r="AH36" s="18">
        <v>50</v>
      </c>
      <c r="AI36" s="18">
        <v>25</v>
      </c>
      <c r="AJ36" s="18"/>
      <c r="AK36" s="44"/>
      <c r="AL36" s="44"/>
      <c r="AM36" s="44"/>
      <c r="AN36" s="44"/>
      <c r="AO36" s="44"/>
      <c r="AP36" s="44"/>
      <c r="AQ36" s="44"/>
      <c r="AR36" s="44"/>
      <c r="AS36" s="28"/>
      <c r="AT36" s="29"/>
      <c r="AU36" s="29"/>
      <c r="AV36" s="29"/>
      <c r="AW36" s="29"/>
      <c r="AX36" s="29"/>
      <c r="AY36" s="61"/>
      <c r="AZ36" s="61"/>
      <c r="BA36" s="61"/>
      <c r="BB36" s="30"/>
      <c r="BC36" s="30"/>
    </row>
    <row r="37" spans="1:55" s="10" customFormat="1" x14ac:dyDescent="0.2">
      <c r="A37" s="27" t="s">
        <v>97</v>
      </c>
      <c r="B37" s="9"/>
      <c r="C37" s="23" t="s">
        <v>224</v>
      </c>
      <c r="D37" s="5" t="s">
        <v>176</v>
      </c>
      <c r="E37" s="13">
        <v>0.28000000000000003</v>
      </c>
      <c r="F37" s="13">
        <v>0.03</v>
      </c>
      <c r="G37" s="13">
        <f t="shared" si="16"/>
        <v>0.03</v>
      </c>
      <c r="H37" s="13">
        <v>0</v>
      </c>
      <c r="I37" s="13">
        <v>0.65</v>
      </c>
      <c r="J37" s="15">
        <f t="shared" si="1"/>
        <v>0.41047500000000003</v>
      </c>
      <c r="K37" s="13">
        <v>0.45</v>
      </c>
      <c r="L37" s="13">
        <v>0.01</v>
      </c>
      <c r="M37" s="13">
        <f t="shared" si="4"/>
        <v>0.65</v>
      </c>
      <c r="N37" s="13">
        <v>0.41499999999999998</v>
      </c>
      <c r="O37" s="16">
        <f t="shared" si="15"/>
        <v>1.1539999999999999</v>
      </c>
      <c r="P37" s="13">
        <v>0.52</v>
      </c>
      <c r="Q37" s="13">
        <v>0.01</v>
      </c>
      <c r="R37" s="15">
        <v>0</v>
      </c>
      <c r="S37" s="13">
        <v>0.05</v>
      </c>
      <c r="T37" s="15">
        <f t="shared" si="17"/>
        <v>0.2599999999999999</v>
      </c>
      <c r="U37" s="13">
        <v>0</v>
      </c>
      <c r="V37" s="13">
        <v>0</v>
      </c>
      <c r="W37" s="22"/>
      <c r="X37" s="22"/>
      <c r="Y37" s="47">
        <v>7.000000000000001E-4</v>
      </c>
      <c r="Z37" s="47">
        <v>5.0000000000000001E-4</v>
      </c>
      <c r="AA37" s="47">
        <v>1E-3</v>
      </c>
      <c r="AB37" s="47">
        <v>2.06E-2</v>
      </c>
      <c r="AC37" s="47">
        <v>1.8E-3</v>
      </c>
      <c r="AD37" s="47">
        <v>1E-4</v>
      </c>
      <c r="AE37" s="47">
        <v>0</v>
      </c>
      <c r="AF37" s="18"/>
      <c r="AG37" s="18"/>
      <c r="AH37" s="18"/>
      <c r="AI37" s="18"/>
      <c r="AJ37" s="18"/>
      <c r="AK37" s="18"/>
      <c r="AL37" s="18"/>
      <c r="AM37" s="18"/>
      <c r="AN37" s="18"/>
      <c r="AO37" s="46"/>
      <c r="AP37" s="39"/>
      <c r="AQ37" s="39"/>
      <c r="AR37" s="39"/>
      <c r="AS37" s="28"/>
      <c r="AT37" s="29"/>
      <c r="AU37" s="29"/>
      <c r="AV37" s="29"/>
      <c r="AW37" s="29"/>
      <c r="AX37" s="29"/>
      <c r="AY37" s="61"/>
      <c r="AZ37" s="61"/>
      <c r="BA37" s="61"/>
      <c r="BB37" s="30"/>
      <c r="BC37" s="30"/>
    </row>
    <row r="38" spans="1:55" s="14" customFormat="1" x14ac:dyDescent="0.2">
      <c r="A38" s="11" t="s">
        <v>132</v>
      </c>
      <c r="B38" s="9"/>
      <c r="C38" s="23" t="s">
        <v>224</v>
      </c>
      <c r="D38" s="12" t="s">
        <v>176</v>
      </c>
      <c r="E38" s="15">
        <v>0.27</v>
      </c>
      <c r="F38" s="15">
        <v>0.09</v>
      </c>
      <c r="G38" s="13">
        <f t="shared" si="16"/>
        <v>6.3E-2</v>
      </c>
      <c r="H38" s="13">
        <f t="shared" ref="H38:H42" si="23">F38*0.3</f>
        <v>2.7E-2</v>
      </c>
      <c r="I38" s="15">
        <v>0.56999999999999995</v>
      </c>
      <c r="J38" s="15">
        <f t="shared" si="1"/>
        <v>0.47452499999999997</v>
      </c>
      <c r="K38" s="13">
        <v>0.75</v>
      </c>
      <c r="L38" s="13">
        <v>0.05</v>
      </c>
      <c r="M38" s="13">
        <f t="shared" si="4"/>
        <v>0.56999999999999995</v>
      </c>
      <c r="N38" s="15">
        <v>0.38300000000000001</v>
      </c>
      <c r="O38" s="16">
        <f t="shared" si="15"/>
        <v>1.375235</v>
      </c>
      <c r="P38" s="22">
        <v>0.61030000000000006</v>
      </c>
      <c r="Q38" s="15">
        <v>3.2000000000000001E-2</v>
      </c>
      <c r="R38" s="15">
        <f t="shared" ref="R38:R41" si="24">Q38*0.695*(19.2+47.7+8.3)/100</f>
        <v>1.672448E-2</v>
      </c>
      <c r="S38" s="15">
        <v>4.8000000000000001E-2</v>
      </c>
      <c r="T38" s="15">
        <f t="shared" si="17"/>
        <v>0.26</v>
      </c>
      <c r="U38" s="15">
        <v>0.2</v>
      </c>
      <c r="V38" s="15">
        <v>0.36</v>
      </c>
      <c r="W38" s="42"/>
      <c r="X38" s="42"/>
      <c r="Y38" s="15">
        <v>2.8999999999999998E-3</v>
      </c>
      <c r="Z38" s="15">
        <v>2.3999999999999998E-3</v>
      </c>
      <c r="AA38" s="15">
        <v>1.9E-3</v>
      </c>
      <c r="AB38" s="15">
        <v>1.2999999999999999E-2</v>
      </c>
      <c r="AC38" s="15">
        <v>1.4E-3</v>
      </c>
      <c r="AD38" s="15">
        <v>1E-4</v>
      </c>
      <c r="AE38" s="15">
        <v>3.0000000000000001E-3</v>
      </c>
      <c r="AF38" s="17"/>
      <c r="AG38" s="18">
        <v>6</v>
      </c>
      <c r="AH38" s="18">
        <v>46</v>
      </c>
      <c r="AI38" s="18">
        <v>29</v>
      </c>
      <c r="AJ38" s="18">
        <v>0.04</v>
      </c>
      <c r="AK38" s="17"/>
      <c r="AL38" s="17"/>
      <c r="AM38" s="17"/>
      <c r="AN38" s="44"/>
      <c r="AO38" s="44"/>
      <c r="AP38" s="44"/>
      <c r="AQ38" s="44"/>
      <c r="AR38" s="44"/>
      <c r="AS38" s="28"/>
      <c r="AT38" s="29"/>
      <c r="AU38" s="29"/>
      <c r="AV38" s="29"/>
      <c r="AW38" s="29"/>
      <c r="AX38" s="29"/>
      <c r="AY38" s="61"/>
      <c r="AZ38" s="61"/>
      <c r="BA38" s="61"/>
      <c r="BB38" s="28"/>
      <c r="BC38" s="28"/>
    </row>
    <row r="39" spans="1:55" s="14" customFormat="1" x14ac:dyDescent="0.2">
      <c r="A39" s="11" t="s">
        <v>133</v>
      </c>
      <c r="B39" s="9"/>
      <c r="C39" s="23" t="s">
        <v>224</v>
      </c>
      <c r="D39" s="12" t="s">
        <v>176</v>
      </c>
      <c r="E39" s="15">
        <v>0.3</v>
      </c>
      <c r="F39" s="15">
        <v>7.0000000000000007E-2</v>
      </c>
      <c r="G39" s="13">
        <f t="shared" si="16"/>
        <v>4.9000000000000002E-2</v>
      </c>
      <c r="H39" s="13">
        <f t="shared" si="23"/>
        <v>2.1000000000000001E-2</v>
      </c>
      <c r="I39" s="15">
        <v>0.53</v>
      </c>
      <c r="J39" s="15">
        <f t="shared" si="1"/>
        <v>0.44122500000000003</v>
      </c>
      <c r="K39" s="13">
        <v>0.75</v>
      </c>
      <c r="L39" s="13">
        <v>0.05</v>
      </c>
      <c r="M39" s="13">
        <f t="shared" si="4"/>
        <v>0.53</v>
      </c>
      <c r="N39" s="15">
        <v>0.35</v>
      </c>
      <c r="O39" s="16">
        <f t="shared" si="15"/>
        <v>1.4318300000000002</v>
      </c>
      <c r="P39" s="22">
        <v>0.63340000000000007</v>
      </c>
      <c r="Q39" s="15">
        <v>3.2000000000000001E-2</v>
      </c>
      <c r="R39" s="15">
        <f t="shared" si="24"/>
        <v>1.672448E-2</v>
      </c>
      <c r="S39" s="15">
        <v>4.4999999999999998E-2</v>
      </c>
      <c r="T39" s="15">
        <f t="shared" si="17"/>
        <v>0.32299999999999995</v>
      </c>
      <c r="U39" s="15">
        <v>0.23100000000000001</v>
      </c>
      <c r="V39" s="15">
        <v>0.34</v>
      </c>
      <c r="W39" s="42"/>
      <c r="X39" s="42"/>
      <c r="Y39" s="15">
        <v>2.8999999999999998E-3</v>
      </c>
      <c r="Z39" s="15">
        <v>2.3999999999999998E-3</v>
      </c>
      <c r="AA39" s="15">
        <v>1.9E-3</v>
      </c>
      <c r="AB39" s="15">
        <v>1.2999999999999999E-2</v>
      </c>
      <c r="AC39" s="15">
        <v>1.4E-3</v>
      </c>
      <c r="AD39" s="15">
        <v>1E-4</v>
      </c>
      <c r="AE39" s="15">
        <v>3.0000000000000001E-3</v>
      </c>
      <c r="AF39" s="17"/>
      <c r="AG39" s="18">
        <v>6</v>
      </c>
      <c r="AH39" s="18">
        <v>46</v>
      </c>
      <c r="AI39" s="18">
        <v>29</v>
      </c>
      <c r="AJ39" s="18">
        <v>0.04</v>
      </c>
      <c r="AK39" s="17"/>
      <c r="AL39" s="17"/>
      <c r="AM39" s="17"/>
      <c r="AN39" s="44"/>
      <c r="AO39" s="44"/>
      <c r="AP39" s="44"/>
      <c r="AQ39" s="44"/>
      <c r="AR39" s="44"/>
      <c r="AS39" s="28"/>
      <c r="AT39" s="29"/>
      <c r="AU39" s="29"/>
      <c r="AV39" s="29"/>
      <c r="AW39" s="29"/>
      <c r="AX39" s="29"/>
      <c r="AY39" s="61"/>
      <c r="AZ39" s="61"/>
      <c r="BA39" s="61"/>
      <c r="BB39" s="28"/>
      <c r="BC39" s="28"/>
    </row>
    <row r="40" spans="1:55" s="14" customFormat="1" x14ac:dyDescent="0.2">
      <c r="A40" s="26" t="s">
        <v>134</v>
      </c>
      <c r="B40" s="9"/>
      <c r="C40" s="23" t="s">
        <v>224</v>
      </c>
      <c r="D40" s="12" t="s">
        <v>176</v>
      </c>
      <c r="E40" s="15">
        <v>0.32</v>
      </c>
      <c r="F40" s="15">
        <v>6.5000000000000002E-2</v>
      </c>
      <c r="G40" s="13">
        <f t="shared" si="16"/>
        <v>4.5499999999999999E-2</v>
      </c>
      <c r="H40" s="13">
        <f t="shared" si="23"/>
        <v>1.95E-2</v>
      </c>
      <c r="I40" s="15">
        <v>0.49</v>
      </c>
      <c r="J40" s="15">
        <f t="shared" si="1"/>
        <v>0.40792499999999998</v>
      </c>
      <c r="K40" s="13">
        <v>0.75</v>
      </c>
      <c r="L40" s="13">
        <v>0.05</v>
      </c>
      <c r="M40" s="13">
        <f t="shared" si="4"/>
        <v>0.49</v>
      </c>
      <c r="N40" s="15">
        <v>0.29699999999999999</v>
      </c>
      <c r="O40" s="16">
        <f t="shared" si="15"/>
        <v>1.5227250000000003</v>
      </c>
      <c r="P40" s="22">
        <v>0.6705000000000001</v>
      </c>
      <c r="Q40" s="15">
        <v>3.2000000000000001E-2</v>
      </c>
      <c r="R40" s="15">
        <f t="shared" si="24"/>
        <v>1.672448E-2</v>
      </c>
      <c r="S40" s="15">
        <v>4.2999999999999997E-2</v>
      </c>
      <c r="T40" s="15">
        <f t="shared" si="17"/>
        <v>0.36999999999999988</v>
      </c>
      <c r="U40" s="15">
        <v>0.251</v>
      </c>
      <c r="V40" s="15">
        <v>0.32</v>
      </c>
      <c r="W40" s="42"/>
      <c r="X40" s="42"/>
      <c r="Y40" s="15">
        <v>2.8E-3</v>
      </c>
      <c r="Z40" s="15">
        <v>2.5999999999999999E-3</v>
      </c>
      <c r="AA40" s="15">
        <v>1.6999999999999999E-3</v>
      </c>
      <c r="AB40" s="15">
        <v>1.2E-2</v>
      </c>
      <c r="AC40" s="15">
        <v>1.4E-3</v>
      </c>
      <c r="AD40" s="15">
        <v>1E-4</v>
      </c>
      <c r="AE40" s="15">
        <v>2.8999999999999998E-3</v>
      </c>
      <c r="AF40" s="17"/>
      <c r="AG40" s="18">
        <v>6</v>
      </c>
      <c r="AH40" s="18">
        <v>36</v>
      </c>
      <c r="AI40" s="18">
        <v>24</v>
      </c>
      <c r="AJ40" s="18">
        <v>0.04</v>
      </c>
      <c r="AK40" s="17"/>
      <c r="AL40" s="17"/>
      <c r="AM40" s="17"/>
      <c r="AN40" s="44"/>
      <c r="AO40" s="44"/>
      <c r="AP40" s="44"/>
      <c r="AQ40" s="44"/>
      <c r="AR40" s="44"/>
      <c r="AS40" s="28"/>
      <c r="AT40" s="29"/>
      <c r="AU40" s="29"/>
      <c r="AV40" s="29"/>
      <c r="AW40" s="29"/>
      <c r="AX40" s="29"/>
      <c r="AY40" s="61"/>
      <c r="AZ40" s="61"/>
      <c r="BA40" s="61"/>
      <c r="BB40" s="28"/>
      <c r="BC40" s="28"/>
    </row>
    <row r="41" spans="1:55" s="14" customFormat="1" x14ac:dyDescent="0.2">
      <c r="A41" s="11" t="s">
        <v>135</v>
      </c>
      <c r="B41" s="9"/>
      <c r="C41" s="23" t="s">
        <v>224</v>
      </c>
      <c r="D41" s="12" t="s">
        <v>176</v>
      </c>
      <c r="E41" s="15">
        <v>0.35</v>
      </c>
      <c r="F41" s="15">
        <v>0.06</v>
      </c>
      <c r="G41" s="13">
        <f t="shared" si="16"/>
        <v>4.1999999999999996E-2</v>
      </c>
      <c r="H41" s="13">
        <f t="shared" ref="H41" si="25">F41*0.3</f>
        <v>1.7999999999999999E-2</v>
      </c>
      <c r="I41" s="15">
        <v>0.38690000000000002</v>
      </c>
      <c r="J41" s="15">
        <f t="shared" si="1"/>
        <v>0.32209425000000003</v>
      </c>
      <c r="K41" s="13">
        <v>0.75</v>
      </c>
      <c r="L41" s="13">
        <v>0.05</v>
      </c>
      <c r="M41" s="13">
        <f t="shared" si="4"/>
        <v>0.38690000000000002</v>
      </c>
      <c r="N41" s="15">
        <v>0.2321</v>
      </c>
      <c r="O41" s="16">
        <f t="shared" si="15"/>
        <v>1.518805</v>
      </c>
      <c r="P41" s="22">
        <v>0.66890000000000005</v>
      </c>
      <c r="Q41" s="15">
        <v>2.53E-2</v>
      </c>
      <c r="R41" s="15">
        <f t="shared" si="24"/>
        <v>1.3222791999999999E-2</v>
      </c>
      <c r="S41" s="15">
        <v>4.5900000000000003E-2</v>
      </c>
      <c r="T41" s="15">
        <f t="shared" si="17"/>
        <v>0.4819</v>
      </c>
      <c r="U41" s="15">
        <v>0.33310000000000001</v>
      </c>
      <c r="V41" s="15">
        <v>0.188</v>
      </c>
      <c r="W41" s="22"/>
      <c r="X41" s="22"/>
      <c r="Y41" s="15">
        <v>2.5999999999999999E-3</v>
      </c>
      <c r="Z41" s="15">
        <v>2.5000000000000001E-3</v>
      </c>
      <c r="AA41" s="15">
        <v>1.6000000000000001E-3</v>
      </c>
      <c r="AB41" s="15">
        <v>1.0999999999999999E-2</v>
      </c>
      <c r="AC41" s="15">
        <v>1E-3</v>
      </c>
      <c r="AD41" s="15">
        <v>1E-4</v>
      </c>
      <c r="AE41" s="15">
        <v>1.6999999999999999E-3</v>
      </c>
      <c r="AF41" s="17"/>
      <c r="AG41" s="18">
        <v>6</v>
      </c>
      <c r="AH41" s="18">
        <v>36</v>
      </c>
      <c r="AI41" s="18">
        <v>23</v>
      </c>
      <c r="AJ41" s="18">
        <v>0.04</v>
      </c>
      <c r="AK41" s="17"/>
      <c r="AL41" s="17"/>
      <c r="AM41" s="17"/>
      <c r="AN41" s="46"/>
      <c r="AO41" s="46"/>
      <c r="AP41" s="39"/>
      <c r="AQ41" s="39"/>
      <c r="AR41" s="39"/>
      <c r="AS41" s="28"/>
      <c r="AT41" s="29">
        <v>0.51300000000000001</v>
      </c>
      <c r="AU41" s="29">
        <v>0.30199999999999999</v>
      </c>
      <c r="AV41" s="29">
        <v>0.185</v>
      </c>
      <c r="AW41" s="29">
        <v>4.3999999999999997E-2</v>
      </c>
      <c r="AX41" s="29">
        <v>0.7</v>
      </c>
      <c r="AY41" s="61">
        <v>1</v>
      </c>
      <c r="AZ41" s="61">
        <v>0.45</v>
      </c>
      <c r="BA41" s="61">
        <v>1</v>
      </c>
      <c r="BB41" s="28"/>
      <c r="BC41" s="28"/>
    </row>
    <row r="42" spans="1:55" s="14" customFormat="1" x14ac:dyDescent="0.2">
      <c r="A42" s="11" t="s">
        <v>68</v>
      </c>
      <c r="B42" s="9"/>
      <c r="C42" s="23" t="s">
        <v>224</v>
      </c>
      <c r="D42" s="5" t="s">
        <v>176</v>
      </c>
      <c r="E42" s="15">
        <v>0.36</v>
      </c>
      <c r="F42" s="15">
        <v>9.4E-2</v>
      </c>
      <c r="G42" s="15">
        <f t="shared" si="16"/>
        <v>6.5799999999999997E-2</v>
      </c>
      <c r="H42" s="15">
        <f t="shared" si="23"/>
        <v>2.8199999999999999E-2</v>
      </c>
      <c r="I42" s="15">
        <v>0.60699999999999998</v>
      </c>
      <c r="J42" s="15">
        <f t="shared" si="1"/>
        <v>0.38332050000000001</v>
      </c>
      <c r="K42" s="13">
        <v>0.45</v>
      </c>
      <c r="L42" s="13">
        <v>0.02</v>
      </c>
      <c r="M42" s="13">
        <f t="shared" si="4"/>
        <v>0.60699999999999998</v>
      </c>
      <c r="N42" s="15">
        <v>0.39300000000000002</v>
      </c>
      <c r="O42" s="16">
        <f t="shared" si="15"/>
        <v>1.358085</v>
      </c>
      <c r="P42" s="22">
        <v>0.60329999999999995</v>
      </c>
      <c r="Q42" s="15">
        <v>3.4000000000000002E-2</v>
      </c>
      <c r="R42" s="15">
        <f>Q42*0.408*(0+10.2+30.4+25.5)/100</f>
        <v>9.1693920000000002E-3</v>
      </c>
      <c r="S42" s="15">
        <v>7.4999999999999997E-2</v>
      </c>
      <c r="T42" s="15">
        <f t="shared" si="17"/>
        <v>0.19000000000000006</v>
      </c>
      <c r="U42" s="15">
        <v>0.105</v>
      </c>
      <c r="V42" s="15">
        <v>0.15</v>
      </c>
      <c r="W42" s="42"/>
      <c r="X42" s="42"/>
      <c r="Y42" s="15">
        <v>5.0000000000000001E-3</v>
      </c>
      <c r="Z42" s="15">
        <v>2.0999999999999999E-3</v>
      </c>
      <c r="AA42" s="15">
        <v>2.7000000000000001E-3</v>
      </c>
      <c r="AB42" s="15">
        <v>1.7500000000000002E-2</v>
      </c>
      <c r="AC42" s="15">
        <v>1.1999999999999999E-3</v>
      </c>
      <c r="AD42" s="15">
        <v>2.0000000000000001E-4</v>
      </c>
      <c r="AE42" s="15">
        <v>6.0000000000000001E-3</v>
      </c>
      <c r="AF42" s="17"/>
      <c r="AG42" s="18">
        <v>9</v>
      </c>
      <c r="AH42" s="18">
        <v>65</v>
      </c>
      <c r="AI42" s="18">
        <v>31</v>
      </c>
      <c r="AJ42" s="18">
        <v>0.03</v>
      </c>
      <c r="AK42" s="17"/>
      <c r="AL42" s="17"/>
      <c r="AM42" s="17"/>
      <c r="AN42" s="44"/>
      <c r="AO42" s="44"/>
      <c r="AP42" s="44"/>
      <c r="AQ42" s="44"/>
      <c r="AR42" s="44"/>
      <c r="AS42" s="28"/>
      <c r="AT42" s="29"/>
      <c r="AU42" s="29"/>
      <c r="AV42" s="29"/>
      <c r="AW42" s="29"/>
      <c r="AX42" s="29"/>
      <c r="AY42" s="61"/>
      <c r="AZ42" s="61"/>
      <c r="BA42" s="61"/>
      <c r="BB42" s="28"/>
      <c r="BC42" s="28"/>
    </row>
    <row r="43" spans="1:55" s="14" customFormat="1" x14ac:dyDescent="0.2">
      <c r="A43" s="11" t="s">
        <v>123</v>
      </c>
      <c r="B43" s="9"/>
      <c r="C43" s="23" t="s">
        <v>224</v>
      </c>
      <c r="D43" s="5" t="s">
        <v>176</v>
      </c>
      <c r="E43" s="15">
        <v>0.88</v>
      </c>
      <c r="F43" s="15">
        <v>0.13</v>
      </c>
      <c r="G43" s="13">
        <f t="shared" si="16"/>
        <v>9.7500000000000003E-2</v>
      </c>
      <c r="H43" s="13">
        <f>F43*0.25</f>
        <v>3.2500000000000001E-2</v>
      </c>
      <c r="I43" s="15">
        <v>0.67</v>
      </c>
      <c r="J43" s="15">
        <f t="shared" si="1"/>
        <v>0.67</v>
      </c>
      <c r="K43" s="13">
        <v>1</v>
      </c>
      <c r="L43" s="13">
        <v>1</v>
      </c>
      <c r="M43" s="13">
        <f t="shared" si="4"/>
        <v>0.67</v>
      </c>
      <c r="N43" s="15">
        <v>0.433</v>
      </c>
      <c r="O43" s="16">
        <f t="shared" si="15"/>
        <v>1.2275</v>
      </c>
      <c r="P43" s="22">
        <v>0.55000000000000004</v>
      </c>
      <c r="Q43" s="15">
        <v>1.9E-2</v>
      </c>
      <c r="R43" s="22">
        <f>Q43*0.405*(3.3+18.8+20.8)/100</f>
        <v>3.3011550000000005E-3</v>
      </c>
      <c r="S43" s="15">
        <v>8.1000000000000003E-2</v>
      </c>
      <c r="T43" s="15">
        <f t="shared" si="17"/>
        <v>9.9999999999999978E-2</v>
      </c>
      <c r="U43" s="15">
        <v>0.02</v>
      </c>
      <c r="V43" s="15">
        <v>0.3</v>
      </c>
      <c r="W43" s="45"/>
      <c r="X43" s="45"/>
      <c r="Y43" s="15">
        <v>4.8999999999999998E-3</v>
      </c>
      <c r="Z43" s="15">
        <v>2.7000000000000001E-3</v>
      </c>
      <c r="AA43" s="15">
        <v>1.9E-3</v>
      </c>
      <c r="AB43" s="15">
        <v>1.7999999999999999E-2</v>
      </c>
      <c r="AC43" s="15">
        <v>4.7999999999999996E-3</v>
      </c>
      <c r="AD43" s="15">
        <v>1.6999999999999999E-3</v>
      </c>
      <c r="AE43" s="13">
        <v>6.7000000000000002E-3</v>
      </c>
      <c r="AF43" s="18"/>
      <c r="AG43" s="18">
        <v>8</v>
      </c>
      <c r="AH43" s="18">
        <v>62</v>
      </c>
      <c r="AI43" s="18">
        <v>32</v>
      </c>
      <c r="AJ43" s="18"/>
      <c r="AK43" s="18"/>
      <c r="AL43" s="39"/>
      <c r="AM43" s="39"/>
      <c r="AN43" s="39"/>
      <c r="AO43" s="39"/>
      <c r="AP43" s="39"/>
      <c r="AQ43" s="39"/>
      <c r="AR43" s="39"/>
      <c r="AS43" s="28"/>
      <c r="AT43" s="29"/>
      <c r="AU43" s="29"/>
      <c r="AV43" s="29"/>
      <c r="AW43" s="29"/>
      <c r="AX43" s="29"/>
      <c r="AY43" s="61"/>
      <c r="AZ43" s="61"/>
      <c r="BA43" s="61"/>
      <c r="BB43" s="28"/>
      <c r="BC43" s="28"/>
    </row>
    <row r="44" spans="1:55" s="14" customFormat="1" x14ac:dyDescent="0.2">
      <c r="A44" s="11" t="s">
        <v>124</v>
      </c>
      <c r="B44" s="9"/>
      <c r="C44" s="23" t="s">
        <v>224</v>
      </c>
      <c r="D44" s="5" t="s">
        <v>176</v>
      </c>
      <c r="E44" s="15">
        <v>0.88</v>
      </c>
      <c r="F44" s="15">
        <v>0.13</v>
      </c>
      <c r="G44" s="13">
        <f t="shared" si="16"/>
        <v>9.7500000000000003E-2</v>
      </c>
      <c r="H44" s="13">
        <f>F44*0.25</f>
        <v>3.2500000000000001E-2</v>
      </c>
      <c r="I44" s="15">
        <v>0.73</v>
      </c>
      <c r="J44" s="15">
        <f t="shared" si="1"/>
        <v>0.63217999999999996</v>
      </c>
      <c r="K44" s="13">
        <v>0.8</v>
      </c>
      <c r="L44" s="13">
        <v>0.45</v>
      </c>
      <c r="M44" s="13">
        <f t="shared" si="4"/>
        <v>0.73</v>
      </c>
      <c r="N44" s="15">
        <v>0.433</v>
      </c>
      <c r="O44" s="16">
        <f t="shared" si="15"/>
        <v>1.2275</v>
      </c>
      <c r="P44" s="22">
        <v>0.55000000000000004</v>
      </c>
      <c r="Q44" s="15">
        <v>1.9E-2</v>
      </c>
      <c r="R44" s="22">
        <f>Q44*0.405*(3.3+18.8+20.8)/100</f>
        <v>3.3011550000000005E-3</v>
      </c>
      <c r="S44" s="15">
        <v>8.1000000000000003E-2</v>
      </c>
      <c r="T44" s="15">
        <f t="shared" si="17"/>
        <v>4.0000000000000036E-2</v>
      </c>
      <c r="U44" s="15">
        <v>0.02</v>
      </c>
      <c r="V44" s="15">
        <v>0.3</v>
      </c>
      <c r="W44" s="45"/>
      <c r="X44" s="45"/>
      <c r="Y44" s="15">
        <v>4.8999999999999998E-3</v>
      </c>
      <c r="Z44" s="15">
        <v>2.7000000000000001E-3</v>
      </c>
      <c r="AA44" s="15">
        <v>1.9E-3</v>
      </c>
      <c r="AB44" s="15">
        <v>1.7999999999999999E-2</v>
      </c>
      <c r="AC44" s="15">
        <v>4.7999999999999996E-3</v>
      </c>
      <c r="AD44" s="15">
        <v>1.6999999999999999E-3</v>
      </c>
      <c r="AE44" s="13">
        <v>6.7000000000000002E-3</v>
      </c>
      <c r="AF44" s="18"/>
      <c r="AG44" s="18">
        <v>8</v>
      </c>
      <c r="AH44" s="18">
        <v>62</v>
      </c>
      <c r="AI44" s="18">
        <v>32</v>
      </c>
      <c r="AJ44" s="18"/>
      <c r="AK44" s="18"/>
      <c r="AL44" s="39"/>
      <c r="AM44" s="39"/>
      <c r="AN44" s="39"/>
      <c r="AO44" s="39"/>
      <c r="AP44" s="39"/>
      <c r="AQ44" s="39"/>
      <c r="AR44" s="39"/>
      <c r="AS44" s="28"/>
      <c r="AT44" s="29"/>
      <c r="AU44" s="29"/>
      <c r="AV44" s="29"/>
      <c r="AW44" s="29"/>
      <c r="AX44" s="29"/>
      <c r="AY44" s="61"/>
      <c r="AZ44" s="61"/>
      <c r="BA44" s="61"/>
      <c r="BB44" s="28"/>
      <c r="BC44" s="28"/>
    </row>
    <row r="45" spans="1:55" s="14" customFormat="1" x14ac:dyDescent="0.2">
      <c r="A45" s="11" t="s">
        <v>125</v>
      </c>
      <c r="B45" s="9"/>
      <c r="C45" s="23" t="s">
        <v>224</v>
      </c>
      <c r="D45" s="12" t="s">
        <v>176</v>
      </c>
      <c r="E45" s="15">
        <v>0.25</v>
      </c>
      <c r="F45" s="15">
        <v>0.16</v>
      </c>
      <c r="G45" s="13">
        <f t="shared" si="16"/>
        <v>0.112</v>
      </c>
      <c r="H45" s="13">
        <f>F45*0.3</f>
        <v>4.8000000000000001E-2</v>
      </c>
      <c r="I45" s="15">
        <v>0.65</v>
      </c>
      <c r="J45" s="15">
        <f t="shared" si="1"/>
        <v>0.65</v>
      </c>
      <c r="K45" s="13">
        <v>1</v>
      </c>
      <c r="L45" s="13">
        <v>1</v>
      </c>
      <c r="M45" s="13">
        <f t="shared" si="4"/>
        <v>0.65</v>
      </c>
      <c r="N45" s="15">
        <v>0.4</v>
      </c>
      <c r="O45" s="16">
        <f t="shared" si="15"/>
        <v>1.35</v>
      </c>
      <c r="P45" s="22">
        <v>0.6</v>
      </c>
      <c r="Q45" s="15">
        <v>2.1000000000000001E-2</v>
      </c>
      <c r="R45" s="22">
        <f>Q45*0.405*(3.3+18.8+20.8)/100</f>
        <v>3.6486450000000007E-3</v>
      </c>
      <c r="S45" s="15">
        <v>6.5000000000000002E-2</v>
      </c>
      <c r="T45" s="15">
        <f t="shared" si="17"/>
        <v>0.10399999999999998</v>
      </c>
      <c r="U45" s="15">
        <v>0.02</v>
      </c>
      <c r="V45" s="15">
        <v>0.3</v>
      </c>
      <c r="W45" s="45"/>
      <c r="X45" s="45"/>
      <c r="Y45" s="15">
        <v>3.8999999999999998E-3</v>
      </c>
      <c r="Z45" s="15">
        <v>2.2000000000000001E-3</v>
      </c>
      <c r="AA45" s="15">
        <v>1.5E-3</v>
      </c>
      <c r="AB45" s="15">
        <v>1.4E-2</v>
      </c>
      <c r="AC45" s="15">
        <v>3.8E-3</v>
      </c>
      <c r="AD45" s="15">
        <v>1.4E-3</v>
      </c>
      <c r="AE45" s="13">
        <v>5.4000000000000003E-3</v>
      </c>
      <c r="AF45" s="18"/>
      <c r="AG45" s="18">
        <v>8</v>
      </c>
      <c r="AH45" s="18">
        <v>62</v>
      </c>
      <c r="AI45" s="18">
        <v>32</v>
      </c>
      <c r="AJ45" s="18"/>
      <c r="AK45" s="18"/>
      <c r="AL45" s="39"/>
      <c r="AM45" s="39"/>
      <c r="AN45" s="39"/>
      <c r="AO45" s="39"/>
      <c r="AP45" s="39"/>
      <c r="AQ45" s="39"/>
      <c r="AR45" s="39"/>
      <c r="AS45" s="30"/>
      <c r="AT45" s="29"/>
      <c r="AU45" s="29"/>
      <c r="AV45" s="29"/>
      <c r="AW45" s="29"/>
      <c r="AX45" s="29"/>
      <c r="AY45" s="61"/>
      <c r="AZ45" s="61"/>
      <c r="BA45" s="61"/>
      <c r="BB45" s="28"/>
      <c r="BC45" s="28"/>
    </row>
    <row r="46" spans="1:55" s="14" customFormat="1" x14ac:dyDescent="0.2">
      <c r="A46" s="19" t="s">
        <v>93</v>
      </c>
      <c r="B46" s="9"/>
      <c r="C46" s="23" t="s">
        <v>222</v>
      </c>
      <c r="D46" s="12" t="s">
        <v>176</v>
      </c>
      <c r="E46" s="22">
        <v>0.92</v>
      </c>
      <c r="F46" s="15">
        <v>0.20399999999999999</v>
      </c>
      <c r="G46" s="13">
        <f t="shared" si="16"/>
        <v>0.1326</v>
      </c>
      <c r="H46" s="13">
        <f>F46*0.35</f>
        <v>7.1399999999999991E-2</v>
      </c>
      <c r="I46" s="15">
        <v>0.503</v>
      </c>
      <c r="J46" s="15">
        <f t="shared" si="1"/>
        <v>0.503</v>
      </c>
      <c r="K46" s="13">
        <v>1</v>
      </c>
      <c r="L46" s="13">
        <v>0</v>
      </c>
      <c r="M46" s="42">
        <v>0</v>
      </c>
      <c r="N46" s="15">
        <v>0.40100000000000002</v>
      </c>
      <c r="O46" s="16">
        <f t="shared" si="15"/>
        <v>2.1095000000000002</v>
      </c>
      <c r="P46" s="13">
        <v>0.91</v>
      </c>
      <c r="Q46" s="15">
        <v>0.186</v>
      </c>
      <c r="R46" s="22">
        <f>Q46* 0.98*(0.6+15.2+56.5+0.2)/100</f>
        <v>0.13215299999999999</v>
      </c>
      <c r="S46" s="15">
        <v>4.2000000000000003E-2</v>
      </c>
      <c r="T46" s="15">
        <f t="shared" si="17"/>
        <v>6.4999999999999947E-2</v>
      </c>
      <c r="U46" s="15">
        <v>4.0000000000000001E-3</v>
      </c>
      <c r="V46" s="13">
        <v>0.3</v>
      </c>
      <c r="W46" s="22"/>
      <c r="X46" s="22"/>
      <c r="Y46" s="15">
        <v>1.6999999999999999E-3</v>
      </c>
      <c r="Z46" s="15">
        <v>6.0000000000000001E-3</v>
      </c>
      <c r="AA46" s="15">
        <v>3.7000000000000002E-3</v>
      </c>
      <c r="AB46" s="15">
        <v>1.1299999999999999E-2</v>
      </c>
      <c r="AC46" s="15">
        <v>2.3E-3</v>
      </c>
      <c r="AD46" s="15">
        <v>2.0000000000000001E-4</v>
      </c>
      <c r="AE46" s="15">
        <v>5.9999999999999995E-4</v>
      </c>
      <c r="AF46" s="17"/>
      <c r="AG46" s="17">
        <v>7</v>
      </c>
      <c r="AH46" s="17">
        <v>18</v>
      </c>
      <c r="AI46" s="17">
        <v>37</v>
      </c>
      <c r="AJ46" s="17">
        <v>0.14000000000000001</v>
      </c>
      <c r="AK46" s="17"/>
      <c r="AL46" s="39"/>
      <c r="AM46" s="46"/>
      <c r="AN46" s="46"/>
      <c r="AO46" s="46"/>
      <c r="AP46" s="39"/>
      <c r="AQ46" s="39"/>
      <c r="AR46" s="39"/>
      <c r="AS46" s="28"/>
      <c r="AT46" s="29">
        <v>0.45400000000000001</v>
      </c>
      <c r="AU46" s="29">
        <v>0.46700000000000003</v>
      </c>
      <c r="AV46" s="29">
        <v>7.9000000000000001E-2</v>
      </c>
      <c r="AW46" s="29">
        <v>0.157</v>
      </c>
      <c r="AX46" s="29">
        <v>0.8</v>
      </c>
      <c r="AY46" s="61">
        <v>1</v>
      </c>
      <c r="AZ46" s="61">
        <v>0.25</v>
      </c>
      <c r="BA46" s="61">
        <v>1</v>
      </c>
      <c r="BB46" s="28"/>
      <c r="BC46" s="28"/>
    </row>
    <row r="47" spans="1:55" s="10" customFormat="1" x14ac:dyDescent="0.2">
      <c r="A47" s="8" t="s">
        <v>215</v>
      </c>
      <c r="B47" s="9"/>
      <c r="C47" s="23" t="s">
        <v>222</v>
      </c>
      <c r="D47" s="5" t="s">
        <v>177</v>
      </c>
      <c r="E47" s="13">
        <v>0.99</v>
      </c>
      <c r="F47" s="13"/>
      <c r="G47" s="13"/>
      <c r="H47" s="13"/>
      <c r="I47" s="13"/>
      <c r="J47" s="15"/>
      <c r="K47" s="13"/>
      <c r="L47" s="13"/>
      <c r="M47" s="42">
        <f t="shared" si="4"/>
        <v>0</v>
      </c>
      <c r="N47" s="13"/>
      <c r="O47" s="16">
        <f t="shared" si="15"/>
        <v>4.1920000000000002</v>
      </c>
      <c r="P47" s="13">
        <v>1.76</v>
      </c>
      <c r="Q47" s="13">
        <v>0.99</v>
      </c>
      <c r="R47" s="15">
        <f>Q47*1*(10+2)/100</f>
        <v>0.11879999999999999</v>
      </c>
      <c r="S47" s="13">
        <v>0.01</v>
      </c>
      <c r="T47" s="15">
        <v>0</v>
      </c>
      <c r="U47" s="13">
        <v>0</v>
      </c>
      <c r="V47" s="13">
        <v>0</v>
      </c>
      <c r="W47" s="48"/>
      <c r="X47" s="48"/>
      <c r="Y47" s="48"/>
      <c r="Z47" s="48"/>
      <c r="AA47" s="48"/>
      <c r="AB47" s="48"/>
      <c r="AC47" s="48"/>
      <c r="AD47" s="48"/>
      <c r="AE47" s="48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28"/>
      <c r="AT47" s="29"/>
      <c r="AU47" s="29"/>
      <c r="AV47" s="29"/>
      <c r="AW47" s="29"/>
      <c r="AX47" s="29"/>
      <c r="AY47" s="61"/>
      <c r="AZ47" s="61"/>
      <c r="BA47" s="61"/>
      <c r="BB47" s="30"/>
      <c r="BC47" s="30"/>
    </row>
    <row r="48" spans="1:55" s="14" customFormat="1" x14ac:dyDescent="0.2">
      <c r="A48" s="8" t="s">
        <v>302</v>
      </c>
      <c r="B48" s="9"/>
      <c r="C48" s="23" t="s">
        <v>222</v>
      </c>
      <c r="D48" s="12" t="s">
        <v>177</v>
      </c>
      <c r="E48" s="13">
        <v>0.97</v>
      </c>
      <c r="F48" s="13"/>
      <c r="G48" s="13"/>
      <c r="H48" s="13"/>
      <c r="I48" s="13"/>
      <c r="J48" s="15"/>
      <c r="K48" s="13"/>
      <c r="L48" s="13"/>
      <c r="M48" s="42">
        <f t="shared" si="4"/>
        <v>0</v>
      </c>
      <c r="N48" s="13"/>
      <c r="O48" s="16">
        <f t="shared" si="15"/>
        <v>3.5550000000000006</v>
      </c>
      <c r="P48" s="13">
        <v>1.5</v>
      </c>
      <c r="Q48" s="13">
        <v>0.873</v>
      </c>
      <c r="R48" s="15">
        <f>Q48*1*(21.9+37.7+1+2.6)/100</f>
        <v>0.551736</v>
      </c>
      <c r="S48" s="13">
        <v>0.155</v>
      </c>
      <c r="T48" s="15">
        <v>0</v>
      </c>
      <c r="U48" s="13">
        <v>0</v>
      </c>
      <c r="V48" s="13">
        <v>0</v>
      </c>
      <c r="W48" s="42"/>
      <c r="X48" s="42"/>
      <c r="Y48" s="13">
        <v>0.09</v>
      </c>
      <c r="Z48" s="13"/>
      <c r="AA48" s="13"/>
      <c r="AB48" s="13"/>
      <c r="AC48" s="13"/>
      <c r="AD48" s="13"/>
      <c r="AE48" s="13"/>
      <c r="AF48" s="18"/>
      <c r="AG48" s="18"/>
      <c r="AH48" s="18"/>
      <c r="AI48" s="18"/>
      <c r="AJ48" s="18"/>
      <c r="AK48" s="44"/>
      <c r="AL48" s="44"/>
      <c r="AM48" s="44"/>
      <c r="AN48" s="44"/>
      <c r="AO48" s="44"/>
      <c r="AP48" s="44"/>
      <c r="AQ48" s="44"/>
      <c r="AR48" s="44"/>
      <c r="AS48" s="28"/>
      <c r="AT48" s="29"/>
      <c r="AU48" s="29"/>
      <c r="AV48" s="29"/>
      <c r="AW48" s="29"/>
      <c r="AX48" s="29"/>
      <c r="AY48" s="61"/>
      <c r="AZ48" s="61"/>
      <c r="BA48" s="61"/>
      <c r="BB48" s="28"/>
      <c r="BC48" s="28"/>
    </row>
    <row r="49" spans="1:55" s="14" customFormat="1" x14ac:dyDescent="0.2">
      <c r="A49" s="11" t="s">
        <v>161</v>
      </c>
      <c r="B49" s="9"/>
      <c r="C49" s="23" t="s">
        <v>222</v>
      </c>
      <c r="D49" s="12" t="s">
        <v>177</v>
      </c>
      <c r="E49" s="13">
        <v>0.99</v>
      </c>
      <c r="F49" s="13"/>
      <c r="G49" s="13"/>
      <c r="H49" s="15"/>
      <c r="I49" s="13"/>
      <c r="J49" s="15"/>
      <c r="K49" s="13"/>
      <c r="L49" s="13"/>
      <c r="M49" s="42">
        <f t="shared" si="4"/>
        <v>0</v>
      </c>
      <c r="N49" s="13"/>
      <c r="O49" s="16">
        <v>5.84</v>
      </c>
      <c r="P49" s="13">
        <v>1.77</v>
      </c>
      <c r="Q49" s="13">
        <v>1</v>
      </c>
      <c r="R49" s="22">
        <f>Q49*0.88*(4+41.6+1.1+0.5)/100</f>
        <v>0.41536000000000001</v>
      </c>
      <c r="S49" s="13"/>
      <c r="T49" s="15"/>
      <c r="U49" s="13"/>
      <c r="V49" s="13"/>
      <c r="W49" s="48"/>
      <c r="X49" s="48"/>
      <c r="Y49" s="48"/>
      <c r="Z49" s="48"/>
      <c r="AA49" s="48"/>
      <c r="AB49" s="48"/>
      <c r="AC49" s="48"/>
      <c r="AD49" s="48"/>
      <c r="AE49" s="48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28"/>
      <c r="AT49" s="29"/>
      <c r="AU49" s="29"/>
      <c r="AV49" s="29"/>
      <c r="AW49" s="29"/>
      <c r="AX49" s="29"/>
      <c r="AY49" s="61"/>
      <c r="AZ49" s="61"/>
      <c r="BA49" s="61"/>
      <c r="BB49" s="28"/>
      <c r="BC49" s="28"/>
    </row>
    <row r="50" spans="1:55" s="14" customFormat="1" x14ac:dyDescent="0.2">
      <c r="A50" s="11" t="s">
        <v>152</v>
      </c>
      <c r="B50" s="9"/>
      <c r="C50" s="23" t="s">
        <v>222</v>
      </c>
      <c r="D50" s="5" t="s">
        <v>177</v>
      </c>
      <c r="E50" s="13">
        <v>0.90400000000000003</v>
      </c>
      <c r="F50" s="13">
        <v>0.41799999999999998</v>
      </c>
      <c r="G50" s="13">
        <f>F50-H50</f>
        <v>0.30931999999999998</v>
      </c>
      <c r="H50" s="15">
        <f>F50*0.26</f>
        <v>0.10868</v>
      </c>
      <c r="I50" s="13">
        <v>0.13</v>
      </c>
      <c r="J50" s="15">
        <f>(I50*K50)+(I50*(1-K50)*0.25)</f>
        <v>3.2500000000000001E-2</v>
      </c>
      <c r="K50" s="13"/>
      <c r="L50" s="13"/>
      <c r="M50" s="42">
        <f t="shared" si="4"/>
        <v>0</v>
      </c>
      <c r="N50" s="13">
        <v>6.3E-2</v>
      </c>
      <c r="O50" s="16">
        <f>(0.0245*P50*100)-0.12</f>
        <v>2.1095000000000002</v>
      </c>
      <c r="P50" s="13">
        <v>0.91</v>
      </c>
      <c r="Q50" s="13">
        <v>0.20699999999999999</v>
      </c>
      <c r="R50" s="22">
        <f>Q50*0.82*(22+52.4+7.6)/100</f>
        <v>0.13918679999999997</v>
      </c>
      <c r="S50" s="13">
        <v>5.8999999999999997E-2</v>
      </c>
      <c r="T50" s="15">
        <f>1-(I50+Q50+S50+F50)</f>
        <v>0.18600000000000005</v>
      </c>
      <c r="U50" s="13">
        <v>3.3000000000000002E-2</v>
      </c>
      <c r="V50" s="13">
        <v>0.25</v>
      </c>
      <c r="W50" s="22"/>
      <c r="X50" s="22"/>
      <c r="Y50" s="13">
        <v>3.2000000000000002E-3</v>
      </c>
      <c r="Z50" s="13">
        <v>6.0000000000000001E-3</v>
      </c>
      <c r="AA50" s="13">
        <v>2.5000000000000001E-3</v>
      </c>
      <c r="AB50" s="13">
        <v>1.9900000000000001E-2</v>
      </c>
      <c r="AC50" s="13">
        <v>3.0999999999999999E-3</v>
      </c>
      <c r="AD50" s="13">
        <v>1E-4</v>
      </c>
      <c r="AE50" s="13">
        <v>4.0000000000000002E-4</v>
      </c>
      <c r="AF50" s="17"/>
      <c r="AG50" s="17">
        <v>13</v>
      </c>
      <c r="AH50" s="17">
        <v>29</v>
      </c>
      <c r="AI50" s="17">
        <v>49</v>
      </c>
      <c r="AJ50" s="17">
        <v>0.28000000000000003</v>
      </c>
      <c r="AK50" s="17"/>
      <c r="AL50" s="17"/>
      <c r="AM50" s="17"/>
      <c r="AN50" s="17"/>
      <c r="AO50" s="17"/>
      <c r="AP50" s="17"/>
      <c r="AQ50" s="17"/>
      <c r="AR50" s="17"/>
      <c r="AS50" s="28"/>
      <c r="AT50" s="29">
        <v>0.27800000000000002</v>
      </c>
      <c r="AU50" s="29">
        <v>0.70199999999999996</v>
      </c>
      <c r="AV50" s="29">
        <v>0.02</v>
      </c>
      <c r="AW50" s="29">
        <v>0.109</v>
      </c>
      <c r="AX50" s="29">
        <v>0.85</v>
      </c>
      <c r="AY50" s="61">
        <v>1</v>
      </c>
      <c r="AZ50" s="61">
        <v>0.51</v>
      </c>
      <c r="BA50" s="61">
        <v>1</v>
      </c>
      <c r="BB50" s="28"/>
      <c r="BC50" s="28"/>
    </row>
    <row r="51" spans="1:55" s="14" customFormat="1" x14ac:dyDescent="0.2">
      <c r="A51" s="11" t="s">
        <v>153</v>
      </c>
      <c r="B51" s="9"/>
      <c r="C51" s="23" t="s">
        <v>222</v>
      </c>
      <c r="D51" s="5" t="s">
        <v>177</v>
      </c>
      <c r="E51" s="22">
        <v>0.93600000000000005</v>
      </c>
      <c r="F51" s="15">
        <v>0.43</v>
      </c>
      <c r="G51" s="15">
        <f>F51-H51</f>
        <v>0.25800000000000001</v>
      </c>
      <c r="H51" s="15">
        <f>F51*0.4</f>
        <v>0.17200000000000001</v>
      </c>
      <c r="I51" s="15">
        <v>0.13</v>
      </c>
      <c r="J51" s="15">
        <f>(I51*K51)+(I51*(1-K51)*0.25)</f>
        <v>3.2500000000000001E-2</v>
      </c>
      <c r="K51" s="13"/>
      <c r="L51" s="13"/>
      <c r="M51" s="42">
        <f t="shared" si="4"/>
        <v>0</v>
      </c>
      <c r="N51" s="15">
        <v>0.06</v>
      </c>
      <c r="O51" s="16">
        <f>(0.0245*P51*100)-0.12</f>
        <v>2.1339999999999999</v>
      </c>
      <c r="P51" s="13">
        <v>0.92</v>
      </c>
      <c r="Q51" s="15">
        <v>0.13800000000000001</v>
      </c>
      <c r="R51" s="22">
        <f>Q51*0.78*(1.4+18.1+54.8+9.5)/100</f>
        <v>9.0202320000000002E-2</v>
      </c>
      <c r="S51" s="15">
        <v>5.5E-2</v>
      </c>
      <c r="T51" s="15">
        <f>1-(I51+Q51+S51+F51)</f>
        <v>0.247</v>
      </c>
      <c r="U51" s="15">
        <v>4.2999999999999997E-2</v>
      </c>
      <c r="V51" s="13">
        <v>0.25</v>
      </c>
      <c r="W51" s="45"/>
      <c r="X51" s="45"/>
      <c r="Y51" s="15">
        <v>3.5999999999999999E-3</v>
      </c>
      <c r="Z51" s="15">
        <v>6.6E-3</v>
      </c>
      <c r="AA51" s="15">
        <v>3.0000000000000001E-3</v>
      </c>
      <c r="AB51" s="15">
        <v>2.12E-2</v>
      </c>
      <c r="AC51" s="15">
        <v>3.3999999999999998E-3</v>
      </c>
      <c r="AD51" s="15">
        <v>4.0000000000000002E-4</v>
      </c>
      <c r="AE51" s="15">
        <v>1E-3</v>
      </c>
      <c r="AF51" s="17"/>
      <c r="AG51" s="17">
        <v>17</v>
      </c>
      <c r="AH51" s="17">
        <v>39</v>
      </c>
      <c r="AI51" s="17">
        <v>72</v>
      </c>
      <c r="AJ51" s="17">
        <v>0.1</v>
      </c>
      <c r="AK51" s="17">
        <v>0.12</v>
      </c>
      <c r="AL51" s="17"/>
      <c r="AM51" s="17"/>
      <c r="AN51" s="17"/>
      <c r="AO51" s="17"/>
      <c r="AP51" s="17"/>
      <c r="AQ51" s="17"/>
      <c r="AR51" s="17"/>
      <c r="AS51" s="28"/>
      <c r="AT51" s="29">
        <v>0.17799999999999999</v>
      </c>
      <c r="AU51" s="29">
        <v>0.77</v>
      </c>
      <c r="AV51" s="29">
        <v>5.1999999999999998E-2</v>
      </c>
      <c r="AW51" s="29">
        <v>9.2999999999999999E-2</v>
      </c>
      <c r="AX51" s="29">
        <v>0.85</v>
      </c>
      <c r="AY51" s="61">
        <v>1</v>
      </c>
      <c r="AZ51" s="61">
        <v>0.51</v>
      </c>
      <c r="BA51" s="61">
        <v>1</v>
      </c>
      <c r="BB51" s="28"/>
      <c r="BC51" s="28"/>
    </row>
    <row r="52" spans="1:55" s="14" customFormat="1" x14ac:dyDescent="0.2">
      <c r="A52" s="11" t="s">
        <v>154</v>
      </c>
      <c r="B52" s="9"/>
      <c r="C52" s="23" t="s">
        <v>222</v>
      </c>
      <c r="D52" s="5" t="s">
        <v>177</v>
      </c>
      <c r="E52" s="22">
        <v>0.93</v>
      </c>
      <c r="F52" s="15">
        <v>0.41699999999999998</v>
      </c>
      <c r="G52" s="15">
        <f>F52-H52</f>
        <v>0.25019999999999998</v>
      </c>
      <c r="H52" s="15">
        <f>F52*0.4</f>
        <v>0.1668</v>
      </c>
      <c r="I52" s="15">
        <v>0.13</v>
      </c>
      <c r="J52" s="15">
        <f>(I52*K52)+(I52*(1-K52)*0.25)</f>
        <v>3.2500000000000001E-2</v>
      </c>
      <c r="K52" s="13"/>
      <c r="L52" s="13"/>
      <c r="M52" s="42">
        <f t="shared" si="4"/>
        <v>0</v>
      </c>
      <c r="N52" s="15">
        <v>0.06</v>
      </c>
      <c r="O52" s="16">
        <f>(0.0245*P52*100)-0.12</f>
        <v>2.1829999999999998</v>
      </c>
      <c r="P52" s="13">
        <v>0.94</v>
      </c>
      <c r="Q52" s="15">
        <v>0.188</v>
      </c>
      <c r="R52" s="22">
        <f>Q52*0.817*(23.6+52.4+7)/100</f>
        <v>0.12748467999999999</v>
      </c>
      <c r="S52" s="15">
        <v>0.05</v>
      </c>
      <c r="T52" s="15">
        <f>1-(I52+Q52+S52+F52)</f>
        <v>0.21500000000000008</v>
      </c>
      <c r="U52" s="15">
        <v>4.3999999999999997E-2</v>
      </c>
      <c r="V52" s="13">
        <v>0.25</v>
      </c>
      <c r="W52" s="22"/>
      <c r="X52" s="22"/>
      <c r="Y52" s="15">
        <v>2.5999999999999999E-3</v>
      </c>
      <c r="Z52" s="15">
        <v>6.4000000000000003E-3</v>
      </c>
      <c r="AA52" s="15">
        <v>2.5000000000000001E-3</v>
      </c>
      <c r="AB52" s="15">
        <v>1.9900000000000001E-2</v>
      </c>
      <c r="AC52" s="15">
        <v>3.2000000000000002E-3</v>
      </c>
      <c r="AD52" s="15">
        <v>1E-4</v>
      </c>
      <c r="AE52" s="15">
        <v>5.9999999999999995E-4</v>
      </c>
      <c r="AF52" s="17"/>
      <c r="AG52" s="17">
        <v>15</v>
      </c>
      <c r="AH52" s="17">
        <v>29</v>
      </c>
      <c r="AI52" s="17">
        <v>48</v>
      </c>
      <c r="AJ52" s="17">
        <v>0.28000000000000003</v>
      </c>
      <c r="AK52" s="17"/>
      <c r="AL52" s="17"/>
      <c r="AM52" s="17"/>
      <c r="AN52" s="18"/>
      <c r="AO52" s="17"/>
      <c r="AP52" s="17"/>
      <c r="AQ52" s="17"/>
      <c r="AR52" s="17"/>
      <c r="AS52" s="28"/>
      <c r="AT52" s="29">
        <v>0.27800000000000002</v>
      </c>
      <c r="AU52" s="29">
        <v>0.70199999999999996</v>
      </c>
      <c r="AV52" s="29">
        <v>0.02</v>
      </c>
      <c r="AW52" s="29">
        <v>0.109</v>
      </c>
      <c r="AX52" s="29">
        <v>0.85</v>
      </c>
      <c r="AY52" s="61">
        <v>1</v>
      </c>
      <c r="AZ52" s="61">
        <v>0.51</v>
      </c>
      <c r="BA52" s="61">
        <v>1</v>
      </c>
      <c r="BB52" s="28"/>
      <c r="BC52" s="28"/>
    </row>
    <row r="53" spans="1:55" s="14" customFormat="1" x14ac:dyDescent="0.2">
      <c r="A53" s="11" t="s">
        <v>155</v>
      </c>
      <c r="B53" s="9"/>
      <c r="C53" s="23" t="s">
        <v>222</v>
      </c>
      <c r="D53" s="5" t="s">
        <v>177</v>
      </c>
      <c r="E53" s="22">
        <v>0.93</v>
      </c>
      <c r="F53" s="15">
        <v>0.41699999999999998</v>
      </c>
      <c r="G53" s="15">
        <f>F53-H53</f>
        <v>0.22935</v>
      </c>
      <c r="H53" s="15">
        <f>F53*0.45</f>
        <v>0.18764999999999998</v>
      </c>
      <c r="I53" s="15">
        <v>0.13</v>
      </c>
      <c r="J53" s="15">
        <f>(I53*K53)+(I53*(1-K53)*0.25)</f>
        <v>3.2500000000000001E-2</v>
      </c>
      <c r="K53" s="13"/>
      <c r="L53" s="13"/>
      <c r="M53" s="42">
        <f t="shared" si="4"/>
        <v>0</v>
      </c>
      <c r="N53" s="15">
        <v>0.06</v>
      </c>
      <c r="O53" s="16">
        <f>(0.0245*P53*100)-0.12</f>
        <v>2.1829999999999998</v>
      </c>
      <c r="P53" s="13">
        <v>0.94</v>
      </c>
      <c r="Q53" s="15">
        <v>0.188</v>
      </c>
      <c r="R53" s="22">
        <f>Q53*0.817*(23.6+52.4+7)/100</f>
        <v>0.12748467999999999</v>
      </c>
      <c r="S53" s="15">
        <v>0.05</v>
      </c>
      <c r="T53" s="15">
        <f>1-(I53+Q53+S53+F53)</f>
        <v>0.21500000000000008</v>
      </c>
      <c r="U53" s="15">
        <v>4.3999999999999997E-2</v>
      </c>
      <c r="V53" s="13">
        <v>0.25</v>
      </c>
      <c r="W53" s="45"/>
      <c r="X53" s="45"/>
      <c r="Y53" s="15">
        <v>2.5999999999999999E-3</v>
      </c>
      <c r="Z53" s="15">
        <v>6.4000000000000003E-3</v>
      </c>
      <c r="AA53" s="15">
        <v>2.5000000000000001E-3</v>
      </c>
      <c r="AB53" s="15">
        <v>1.9900000000000001E-2</v>
      </c>
      <c r="AC53" s="15">
        <v>3.2000000000000002E-3</v>
      </c>
      <c r="AD53" s="15">
        <v>1E-4</v>
      </c>
      <c r="AE53" s="15">
        <v>5.9999999999999995E-4</v>
      </c>
      <c r="AF53" s="17"/>
      <c r="AG53" s="17">
        <v>15</v>
      </c>
      <c r="AH53" s="17">
        <v>29</v>
      </c>
      <c r="AI53" s="17">
        <v>48</v>
      </c>
      <c r="AJ53" s="17">
        <v>0.28000000000000003</v>
      </c>
      <c r="AK53" s="17"/>
      <c r="AL53" s="17"/>
      <c r="AM53" s="17"/>
      <c r="AN53" s="17"/>
      <c r="AO53" s="17"/>
      <c r="AP53" s="17"/>
      <c r="AQ53" s="18"/>
      <c r="AR53" s="18"/>
      <c r="AS53" s="49"/>
      <c r="AT53" s="29">
        <v>0.17799999999999999</v>
      </c>
      <c r="AU53" s="29">
        <v>0.77</v>
      </c>
      <c r="AV53" s="29">
        <v>5.1999999999999998E-2</v>
      </c>
      <c r="AW53" s="29">
        <v>9.2999999999999999E-2</v>
      </c>
      <c r="AX53" s="29">
        <v>0.85</v>
      </c>
      <c r="AY53" s="61">
        <v>1</v>
      </c>
      <c r="AZ53" s="61">
        <v>0.51</v>
      </c>
      <c r="BA53" s="61">
        <v>1</v>
      </c>
      <c r="BB53" s="28"/>
      <c r="BC53" s="28"/>
    </row>
    <row r="54" spans="1:55" s="10" customFormat="1" x14ac:dyDescent="0.2">
      <c r="A54" s="8" t="s">
        <v>164</v>
      </c>
      <c r="B54" s="9"/>
      <c r="C54" s="23" t="s">
        <v>223</v>
      </c>
      <c r="D54" s="5" t="s">
        <v>177</v>
      </c>
      <c r="E54" s="42">
        <v>1</v>
      </c>
      <c r="F54" s="42"/>
      <c r="G54" s="42"/>
      <c r="H54" s="42"/>
      <c r="I54" s="42"/>
      <c r="J54" s="42"/>
      <c r="K54" s="42"/>
      <c r="L54" s="42"/>
      <c r="M54" s="42">
        <f t="shared" si="4"/>
        <v>0</v>
      </c>
      <c r="N54" s="42"/>
      <c r="O54" s="50"/>
      <c r="P54" s="42"/>
      <c r="Q54" s="42"/>
      <c r="R54" s="42"/>
      <c r="S54" s="42">
        <v>1</v>
      </c>
      <c r="T54" s="42">
        <f>1-(F54+I54+Q54+S54)</f>
        <v>0</v>
      </c>
      <c r="U54" s="42"/>
      <c r="V54" s="42"/>
      <c r="W54" s="42"/>
      <c r="X54" s="42"/>
      <c r="Y54" s="42">
        <v>0</v>
      </c>
      <c r="Z54" s="42">
        <v>0</v>
      </c>
      <c r="AA54" s="42">
        <v>0</v>
      </c>
      <c r="AB54" s="42">
        <v>0</v>
      </c>
      <c r="AC54" s="42">
        <v>0</v>
      </c>
      <c r="AD54" s="42">
        <v>0.27</v>
      </c>
      <c r="AE54" s="42">
        <v>0</v>
      </c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28"/>
      <c r="AT54" s="29"/>
      <c r="AU54" s="29"/>
      <c r="AV54" s="29"/>
      <c r="AW54" s="29"/>
      <c r="AX54" s="29"/>
      <c r="AY54" s="61"/>
      <c r="AZ54" s="61"/>
      <c r="BA54" s="61"/>
      <c r="BB54" s="30"/>
      <c r="BC54" s="30"/>
    </row>
    <row r="55" spans="1:55" s="14" customFormat="1" x14ac:dyDescent="0.2">
      <c r="A55" s="8" t="s">
        <v>165</v>
      </c>
      <c r="B55" s="9"/>
      <c r="C55" s="23" t="s">
        <v>223</v>
      </c>
      <c r="D55" s="5" t="s">
        <v>177</v>
      </c>
      <c r="E55" s="42">
        <v>1</v>
      </c>
      <c r="F55" s="42"/>
      <c r="G55" s="42"/>
      <c r="H55" s="42"/>
      <c r="I55" s="42"/>
      <c r="J55" s="42"/>
      <c r="K55" s="42"/>
      <c r="L55" s="42"/>
      <c r="M55" s="42">
        <f t="shared" si="4"/>
        <v>0</v>
      </c>
      <c r="N55" s="42"/>
      <c r="O55" s="50"/>
      <c r="P55" s="42"/>
      <c r="Q55" s="42"/>
      <c r="R55" s="42"/>
      <c r="S55" s="42">
        <v>1</v>
      </c>
      <c r="T55" s="42">
        <f>1-(F55+I55+Q55+S55)</f>
        <v>0</v>
      </c>
      <c r="U55" s="42"/>
      <c r="V55" s="42"/>
      <c r="W55" s="42"/>
      <c r="X55" s="42"/>
      <c r="Y55" s="42">
        <v>0.34</v>
      </c>
      <c r="Z55" s="42">
        <v>2.0000000000000001E-4</v>
      </c>
      <c r="AA55" s="42">
        <v>2.06E-2</v>
      </c>
      <c r="AB55" s="42">
        <v>1.1999999999999999E-3</v>
      </c>
      <c r="AC55" s="42">
        <v>4.0000000000000002E-4</v>
      </c>
      <c r="AD55" s="42">
        <v>5.9999999999999995E-4</v>
      </c>
      <c r="AE55" s="42">
        <v>2.9999999999999997E-4</v>
      </c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30"/>
      <c r="AT55" s="29"/>
      <c r="AU55" s="29"/>
      <c r="AV55" s="29"/>
      <c r="AW55" s="29"/>
      <c r="AX55" s="29"/>
      <c r="AY55" s="61"/>
      <c r="AZ55" s="61"/>
      <c r="BA55" s="61"/>
      <c r="BB55" s="28"/>
      <c r="BC55" s="28"/>
    </row>
    <row r="56" spans="1:55" s="14" customFormat="1" x14ac:dyDescent="0.2">
      <c r="A56" s="8" t="s">
        <v>166</v>
      </c>
      <c r="B56" s="9"/>
      <c r="C56" s="23" t="s">
        <v>223</v>
      </c>
      <c r="D56" s="5" t="s">
        <v>177</v>
      </c>
      <c r="E56" s="42">
        <v>1</v>
      </c>
      <c r="F56" s="42"/>
      <c r="G56" s="42"/>
      <c r="H56" s="42"/>
      <c r="I56" s="42"/>
      <c r="J56" s="42"/>
      <c r="K56" s="42"/>
      <c r="L56" s="42"/>
      <c r="M56" s="42">
        <f t="shared" si="4"/>
        <v>0</v>
      </c>
      <c r="N56" s="42"/>
      <c r="O56" s="50"/>
      <c r="P56" s="42"/>
      <c r="Q56" s="42"/>
      <c r="R56" s="42"/>
      <c r="S56" s="42">
        <v>1</v>
      </c>
      <c r="T56" s="42">
        <f>1-(F56+I56+Q56+S56)</f>
        <v>0</v>
      </c>
      <c r="U56" s="42"/>
      <c r="V56" s="42"/>
      <c r="W56" s="42"/>
      <c r="X56" s="42"/>
      <c r="Y56" s="42">
        <v>0.39400000000000002</v>
      </c>
      <c r="Z56" s="42">
        <v>4.0000000000000002E-4</v>
      </c>
      <c r="AA56" s="42">
        <v>5.0000000000000001E-4</v>
      </c>
      <c r="AB56" s="42">
        <v>5.9999999999999995E-4</v>
      </c>
      <c r="AC56" s="42">
        <v>0</v>
      </c>
      <c r="AD56" s="42">
        <v>5.9999999999999995E-4</v>
      </c>
      <c r="AE56" s="42">
        <v>0</v>
      </c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30"/>
      <c r="AT56" s="29"/>
      <c r="AU56" s="29"/>
      <c r="AV56" s="29"/>
      <c r="AW56" s="29"/>
      <c r="AX56" s="29"/>
      <c r="AY56" s="61"/>
      <c r="AZ56" s="61"/>
      <c r="BA56" s="61"/>
      <c r="BB56" s="28"/>
      <c r="BC56" s="28"/>
    </row>
    <row r="57" spans="1:55" s="14" customFormat="1" x14ac:dyDescent="0.2">
      <c r="A57" s="8" t="s">
        <v>196</v>
      </c>
      <c r="B57" s="9"/>
      <c r="C57" s="23" t="s">
        <v>223</v>
      </c>
      <c r="D57" s="5" t="s">
        <v>177</v>
      </c>
      <c r="E57" s="42">
        <v>1</v>
      </c>
      <c r="F57" s="42">
        <v>1.63</v>
      </c>
      <c r="G57" s="42">
        <v>1.63</v>
      </c>
      <c r="H57" s="42">
        <v>0</v>
      </c>
      <c r="I57" s="42"/>
      <c r="J57" s="42"/>
      <c r="K57" s="42"/>
      <c r="L57" s="42"/>
      <c r="M57" s="42">
        <f t="shared" si="4"/>
        <v>0</v>
      </c>
      <c r="N57" s="42"/>
      <c r="O57" s="50"/>
      <c r="P57" s="42"/>
      <c r="Q57" s="42"/>
      <c r="R57" s="42"/>
      <c r="S57" s="42">
        <v>1</v>
      </c>
      <c r="T57" s="42"/>
      <c r="U57" s="42"/>
      <c r="V57" s="42"/>
      <c r="W57" s="42"/>
      <c r="X57" s="42"/>
      <c r="Y57" s="42">
        <v>0</v>
      </c>
      <c r="Z57" s="42">
        <v>0</v>
      </c>
      <c r="AA57" s="42">
        <v>0</v>
      </c>
      <c r="AB57" s="42">
        <v>0</v>
      </c>
      <c r="AC57" s="42">
        <v>0</v>
      </c>
      <c r="AD57" s="42">
        <v>0</v>
      </c>
      <c r="AE57" s="42">
        <v>0.66</v>
      </c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30"/>
      <c r="AT57" s="29"/>
      <c r="AU57" s="29"/>
      <c r="AV57" s="29"/>
      <c r="AW57" s="29"/>
      <c r="AX57" s="29"/>
      <c r="AY57" s="61"/>
      <c r="AZ57" s="61"/>
      <c r="BA57" s="61"/>
      <c r="BB57" s="28"/>
      <c r="BC57" s="28"/>
    </row>
    <row r="58" spans="1:55" s="14" customFormat="1" x14ac:dyDescent="0.2">
      <c r="A58" s="8" t="s">
        <v>168</v>
      </c>
      <c r="B58" s="9"/>
      <c r="C58" s="23" t="s">
        <v>223</v>
      </c>
      <c r="D58" s="5" t="s">
        <v>177</v>
      </c>
      <c r="E58" s="42">
        <v>1</v>
      </c>
      <c r="F58" s="42"/>
      <c r="G58" s="42"/>
      <c r="H58" s="42"/>
      <c r="I58" s="42"/>
      <c r="J58" s="42"/>
      <c r="K58" s="42"/>
      <c r="L58" s="42"/>
      <c r="M58" s="42">
        <f t="shared" si="4"/>
        <v>0</v>
      </c>
      <c r="N58" s="42"/>
      <c r="O58" s="50"/>
      <c r="P58" s="42"/>
      <c r="Q58" s="42"/>
      <c r="R58" s="42"/>
      <c r="S58" s="42">
        <v>1</v>
      </c>
      <c r="T58" s="42">
        <f>1-(F58+I58+Q58+S58)</f>
        <v>0</v>
      </c>
      <c r="U58" s="42"/>
      <c r="V58" s="42"/>
      <c r="W58" s="42"/>
      <c r="X58" s="42"/>
      <c r="Y58" s="42">
        <v>0.2727</v>
      </c>
      <c r="Z58" s="42">
        <v>0</v>
      </c>
      <c r="AA58" s="42">
        <v>0</v>
      </c>
      <c r="AB58" s="42">
        <v>0</v>
      </c>
      <c r="AC58" s="42">
        <v>0</v>
      </c>
      <c r="AD58" s="42">
        <v>0</v>
      </c>
      <c r="AE58" s="42">
        <v>0.48230000000000001</v>
      </c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30"/>
      <c r="AT58" s="29"/>
      <c r="AU58" s="29"/>
      <c r="AV58" s="29"/>
      <c r="AW58" s="29"/>
      <c r="AX58" s="29"/>
      <c r="AY58" s="61"/>
      <c r="AZ58" s="61"/>
      <c r="BA58" s="61"/>
      <c r="BB58" s="28"/>
      <c r="BC58" s="28"/>
    </row>
    <row r="59" spans="1:55" s="10" customFormat="1" x14ac:dyDescent="0.2">
      <c r="A59" s="8" t="s">
        <v>167</v>
      </c>
      <c r="B59" s="9"/>
      <c r="C59" s="23" t="s">
        <v>223</v>
      </c>
      <c r="D59" s="5" t="s">
        <v>177</v>
      </c>
      <c r="E59" s="42">
        <v>1</v>
      </c>
      <c r="F59" s="42"/>
      <c r="G59" s="42"/>
      <c r="H59" s="42"/>
      <c r="I59" s="42"/>
      <c r="J59" s="42"/>
      <c r="K59" s="42"/>
      <c r="L59" s="42"/>
      <c r="M59" s="42">
        <f t="shared" si="4"/>
        <v>0</v>
      </c>
      <c r="N59" s="42"/>
      <c r="O59" s="50"/>
      <c r="P59" s="42"/>
      <c r="Q59" s="42"/>
      <c r="R59" s="42"/>
      <c r="S59" s="42">
        <v>1</v>
      </c>
      <c r="T59" s="42">
        <f>1-(F59+I59+Q59+S59)</f>
        <v>0</v>
      </c>
      <c r="U59" s="42"/>
      <c r="V59" s="42"/>
      <c r="W59" s="42"/>
      <c r="X59" s="42"/>
      <c r="Y59" s="42">
        <v>0.22</v>
      </c>
      <c r="Z59" s="42">
        <v>0.193</v>
      </c>
      <c r="AA59" s="42">
        <v>5.8999999999999999E-3</v>
      </c>
      <c r="AB59" s="42">
        <v>6.9999999999999999E-4</v>
      </c>
      <c r="AC59" s="42">
        <v>1.14E-2</v>
      </c>
      <c r="AD59" s="42">
        <v>5.0000000000000001E-4</v>
      </c>
      <c r="AE59" s="42">
        <v>0</v>
      </c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28"/>
      <c r="AT59" s="29"/>
      <c r="AU59" s="29"/>
      <c r="AV59" s="29"/>
      <c r="AW59" s="29"/>
      <c r="AX59" s="29"/>
      <c r="AY59" s="61"/>
      <c r="AZ59" s="61"/>
      <c r="BA59" s="61"/>
      <c r="BB59" s="30"/>
      <c r="BC59" s="30"/>
    </row>
    <row r="60" spans="1:55" s="14" customFormat="1" x14ac:dyDescent="0.2">
      <c r="A60" s="8" t="s">
        <v>263</v>
      </c>
      <c r="B60" s="23"/>
      <c r="C60" s="23" t="s">
        <v>223</v>
      </c>
      <c r="D60" s="5" t="s">
        <v>177</v>
      </c>
      <c r="E60" s="45">
        <v>1</v>
      </c>
      <c r="F60" s="45"/>
      <c r="G60" s="45"/>
      <c r="H60" s="45"/>
      <c r="I60" s="45"/>
      <c r="J60" s="45"/>
      <c r="K60" s="45"/>
      <c r="L60" s="45"/>
      <c r="M60" s="42">
        <f t="shared" si="4"/>
        <v>0</v>
      </c>
      <c r="N60" s="45"/>
      <c r="O60" s="51"/>
      <c r="P60" s="45"/>
      <c r="Q60" s="52"/>
      <c r="R60" s="52"/>
      <c r="S60" s="52">
        <v>1</v>
      </c>
      <c r="T60" s="45"/>
      <c r="U60" s="45"/>
      <c r="V60" s="45"/>
      <c r="W60" s="45"/>
      <c r="X60" s="45"/>
      <c r="Y60" s="45">
        <v>0.26</v>
      </c>
      <c r="Z60" s="45">
        <v>0.03</v>
      </c>
      <c r="AA60" s="45">
        <v>0.05</v>
      </c>
      <c r="AB60" s="45"/>
      <c r="AC60" s="45">
        <v>1.4999999999999999E-2</v>
      </c>
      <c r="AD60" s="45">
        <v>7.0000000000000007E-2</v>
      </c>
      <c r="AE60" s="45"/>
      <c r="AF60" s="39">
        <v>17</v>
      </c>
      <c r="AG60" s="39">
        <v>400</v>
      </c>
      <c r="AH60" s="39">
        <v>1000</v>
      </c>
      <c r="AI60" s="39">
        <v>1800</v>
      </c>
      <c r="AJ60" s="39">
        <v>16</v>
      </c>
      <c r="AK60" s="39">
        <v>32</v>
      </c>
      <c r="AL60" s="39"/>
      <c r="AM60" s="39">
        <v>160000</v>
      </c>
      <c r="AN60" s="39">
        <v>80000</v>
      </c>
      <c r="AO60" s="39">
        <v>1100</v>
      </c>
      <c r="AP60" s="39">
        <v>40</v>
      </c>
      <c r="AQ60" s="39">
        <v>600</v>
      </c>
      <c r="AR60" s="39"/>
      <c r="AS60" s="28">
        <v>180000000000</v>
      </c>
      <c r="AT60" s="29"/>
      <c r="AU60" s="29"/>
      <c r="AV60" s="29"/>
      <c r="AW60" s="29"/>
      <c r="AX60" s="29"/>
      <c r="AY60" s="61"/>
      <c r="AZ60" s="61"/>
      <c r="BA60" s="61"/>
      <c r="BB60" s="28"/>
      <c r="BC60" s="28"/>
    </row>
    <row r="61" spans="1:55" s="14" customFormat="1" x14ac:dyDescent="0.2">
      <c r="A61" s="8" t="s">
        <v>264</v>
      </c>
      <c r="B61" s="23"/>
      <c r="C61" s="23" t="s">
        <v>223</v>
      </c>
      <c r="D61" s="5" t="s">
        <v>177</v>
      </c>
      <c r="E61" s="45">
        <v>1</v>
      </c>
      <c r="F61" s="45"/>
      <c r="G61" s="45"/>
      <c r="H61" s="45"/>
      <c r="I61" s="45"/>
      <c r="J61" s="45"/>
      <c r="K61" s="45"/>
      <c r="L61" s="45"/>
      <c r="M61" s="42">
        <f t="shared" si="4"/>
        <v>0</v>
      </c>
      <c r="N61" s="45"/>
      <c r="O61" s="51"/>
      <c r="P61" s="45"/>
      <c r="Q61" s="52"/>
      <c r="R61" s="52"/>
      <c r="S61" s="52">
        <v>1</v>
      </c>
      <c r="T61" s="45"/>
      <c r="U61" s="45"/>
      <c r="V61" s="45"/>
      <c r="W61" s="45"/>
      <c r="X61" s="45"/>
      <c r="Y61" s="45">
        <v>6.7500000000000004E-2</v>
      </c>
      <c r="Z61" s="45">
        <v>2.4E-2</v>
      </c>
      <c r="AA61" s="45">
        <v>8.4000000000000005E-2</v>
      </c>
      <c r="AB61" s="45"/>
      <c r="AC61" s="45">
        <v>0.06</v>
      </c>
      <c r="AD61" s="45">
        <v>2.5000000000000001E-2</v>
      </c>
      <c r="AE61" s="45">
        <v>0.15</v>
      </c>
      <c r="AF61" s="39">
        <v>20</v>
      </c>
      <c r="AG61" s="39">
        <v>417</v>
      </c>
      <c r="AH61" s="39">
        <v>833</v>
      </c>
      <c r="AI61" s="39">
        <v>2666</v>
      </c>
      <c r="AJ61" s="39">
        <v>10</v>
      </c>
      <c r="AK61" s="39">
        <v>33</v>
      </c>
      <c r="AL61" s="39"/>
      <c r="AM61" s="39">
        <v>400000</v>
      </c>
      <c r="AN61" s="39">
        <v>125000</v>
      </c>
      <c r="AO61" s="39">
        <v>13340</v>
      </c>
      <c r="AP61" s="39"/>
      <c r="AQ61" s="39">
        <v>666</v>
      </c>
      <c r="AR61" s="39"/>
      <c r="AS61" s="28"/>
      <c r="AT61" s="29"/>
      <c r="AU61" s="29"/>
      <c r="AV61" s="29"/>
      <c r="AW61" s="29"/>
      <c r="AX61" s="29"/>
      <c r="AY61" s="61"/>
      <c r="AZ61" s="61"/>
      <c r="BA61" s="61"/>
      <c r="BB61" s="28"/>
      <c r="BC61" s="28"/>
    </row>
    <row r="62" spans="1:55" s="14" customFormat="1" x14ac:dyDescent="0.2">
      <c r="A62" s="8" t="s">
        <v>266</v>
      </c>
      <c r="B62" s="23"/>
      <c r="C62" s="23" t="s">
        <v>223</v>
      </c>
      <c r="D62" s="5" t="s">
        <v>177</v>
      </c>
      <c r="E62" s="45">
        <v>1</v>
      </c>
      <c r="F62" s="45"/>
      <c r="G62" s="45"/>
      <c r="H62" s="45"/>
      <c r="I62" s="45"/>
      <c r="J62" s="45"/>
      <c r="K62" s="45"/>
      <c r="L62" s="45"/>
      <c r="M62" s="42">
        <f t="shared" si="4"/>
        <v>0</v>
      </c>
      <c r="N62" s="45"/>
      <c r="O62" s="51"/>
      <c r="P62" s="45"/>
      <c r="Q62" s="52"/>
      <c r="R62" s="52"/>
      <c r="S62" s="52">
        <v>1</v>
      </c>
      <c r="T62" s="45"/>
      <c r="U62" s="45"/>
      <c r="V62" s="45"/>
      <c r="W62" s="45"/>
      <c r="X62" s="45"/>
      <c r="Y62" s="45">
        <v>0.24</v>
      </c>
      <c r="Z62" s="45">
        <v>0.04</v>
      </c>
      <c r="AA62" s="45">
        <v>1.4999999999999999E-2</v>
      </c>
      <c r="AB62" s="45"/>
      <c r="AC62" s="45">
        <v>1.7999999999999999E-2</v>
      </c>
      <c r="AD62" s="45">
        <v>7.0000000000000007E-2</v>
      </c>
      <c r="AE62" s="45"/>
      <c r="AF62" s="39">
        <v>30</v>
      </c>
      <c r="AG62" s="39">
        <v>680</v>
      </c>
      <c r="AH62" s="39">
        <v>1100</v>
      </c>
      <c r="AI62" s="39">
        <v>3500</v>
      </c>
      <c r="AJ62" s="39">
        <v>20</v>
      </c>
      <c r="AK62" s="39">
        <v>40</v>
      </c>
      <c r="AL62" s="39"/>
      <c r="AM62" s="39">
        <v>200000</v>
      </c>
      <c r="AN62" s="39">
        <v>40000</v>
      </c>
      <c r="AO62" s="39">
        <v>1500</v>
      </c>
      <c r="AP62" s="39"/>
      <c r="AQ62" s="39">
        <v>1000</v>
      </c>
      <c r="AR62" s="39"/>
      <c r="AS62" s="28"/>
      <c r="AT62" s="29"/>
      <c r="AU62" s="29"/>
      <c r="AV62" s="29"/>
      <c r="AW62" s="29"/>
      <c r="AX62" s="29"/>
      <c r="AY62" s="61"/>
      <c r="AZ62" s="61"/>
      <c r="BA62" s="61"/>
      <c r="BB62" s="28"/>
      <c r="BC62" s="28"/>
    </row>
    <row r="63" spans="1:55" s="14" customFormat="1" x14ac:dyDescent="0.2">
      <c r="A63" s="8" t="s">
        <v>265</v>
      </c>
      <c r="B63" s="23"/>
      <c r="C63" s="23" t="s">
        <v>223</v>
      </c>
      <c r="D63" s="5" t="s">
        <v>177</v>
      </c>
      <c r="E63" s="45">
        <v>0.875</v>
      </c>
      <c r="F63" s="45">
        <v>8.5000000000000006E-2</v>
      </c>
      <c r="G63" s="45"/>
      <c r="H63" s="45"/>
      <c r="I63" s="45">
        <v>0.1</v>
      </c>
      <c r="J63" s="45"/>
      <c r="K63" s="45"/>
      <c r="L63" s="45"/>
      <c r="M63" s="42">
        <f>IF(D63="C", 0,I63)</f>
        <v>0</v>
      </c>
      <c r="N63" s="45">
        <v>0.06</v>
      </c>
      <c r="O63" s="51"/>
      <c r="P63" s="45"/>
      <c r="Q63" s="52">
        <v>2.5000000000000001E-2</v>
      </c>
      <c r="R63" s="52"/>
      <c r="S63" s="52">
        <v>5.5E-2</v>
      </c>
      <c r="T63" s="45">
        <v>0.73499999999999999</v>
      </c>
      <c r="U63" s="45"/>
      <c r="V63" s="45"/>
      <c r="W63" s="45">
        <v>4.0000000000000001E-3</v>
      </c>
      <c r="X63" s="45">
        <v>1.4999999999999999E-2</v>
      </c>
      <c r="Y63" s="45">
        <v>0.12</v>
      </c>
      <c r="Z63" s="45">
        <v>0.02</v>
      </c>
      <c r="AA63" s="45">
        <v>5.0000000000000001E-3</v>
      </c>
      <c r="AB63" s="45"/>
      <c r="AC63" s="45">
        <v>7.4999999999999997E-3</v>
      </c>
      <c r="AD63" s="45">
        <v>0.02</v>
      </c>
      <c r="AE63" s="45"/>
      <c r="AF63" s="39">
        <v>6</v>
      </c>
      <c r="AG63" s="39">
        <v>250</v>
      </c>
      <c r="AH63" s="39">
        <v>1000</v>
      </c>
      <c r="AI63" s="39">
        <v>1000</v>
      </c>
      <c r="AJ63" s="39">
        <v>10</v>
      </c>
      <c r="AK63" s="39">
        <v>12.5</v>
      </c>
      <c r="AL63" s="39">
        <v>375</v>
      </c>
      <c r="AM63" s="39">
        <v>150000</v>
      </c>
      <c r="AN63" s="39">
        <v>30000</v>
      </c>
      <c r="AO63" s="39">
        <v>625</v>
      </c>
      <c r="AP63" s="39"/>
      <c r="AQ63" s="39">
        <v>1000</v>
      </c>
      <c r="AR63" s="39">
        <v>10</v>
      </c>
      <c r="AS63" s="28"/>
      <c r="AT63" s="29"/>
      <c r="AU63" s="29"/>
      <c r="AV63" s="29"/>
      <c r="AW63" s="29"/>
      <c r="AX63" s="29"/>
      <c r="AY63" s="61"/>
      <c r="AZ63" s="61"/>
      <c r="BA63" s="61"/>
      <c r="BB63" s="28"/>
      <c r="BC63" s="28"/>
    </row>
    <row r="64" spans="1:55" s="14" customFormat="1" x14ac:dyDescent="0.2">
      <c r="A64" s="8" t="s">
        <v>75</v>
      </c>
      <c r="B64" s="9"/>
      <c r="C64" s="23" t="s">
        <v>223</v>
      </c>
      <c r="D64" s="5" t="s">
        <v>177</v>
      </c>
      <c r="E64" s="42">
        <v>1</v>
      </c>
      <c r="F64" s="42"/>
      <c r="G64" s="42"/>
      <c r="H64" s="42"/>
      <c r="I64" s="42"/>
      <c r="J64" s="42"/>
      <c r="K64" s="42"/>
      <c r="L64" s="42"/>
      <c r="M64" s="42">
        <f t="shared" si="4"/>
        <v>0</v>
      </c>
      <c r="N64" s="42"/>
      <c r="O64" s="50"/>
      <c r="P64" s="42"/>
      <c r="Q64" s="42"/>
      <c r="R64" s="42"/>
      <c r="S64" s="42">
        <v>1</v>
      </c>
      <c r="T64" s="42">
        <f>1-(F64+I64+Q64+S64)</f>
        <v>0</v>
      </c>
      <c r="U64" s="42"/>
      <c r="V64" s="42"/>
      <c r="W64" s="42"/>
      <c r="X64" s="42"/>
      <c r="Y64" s="42">
        <v>3.04E-2</v>
      </c>
      <c r="Z64" s="42">
        <v>0</v>
      </c>
      <c r="AA64" s="42">
        <v>0.56200000000000006</v>
      </c>
      <c r="AB64" s="42">
        <v>0</v>
      </c>
      <c r="AC64" s="42">
        <v>0</v>
      </c>
      <c r="AD64" s="42">
        <v>0</v>
      </c>
      <c r="AE64" s="42">
        <v>0</v>
      </c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28"/>
      <c r="AT64" s="29"/>
      <c r="AU64" s="29"/>
      <c r="AV64" s="29"/>
      <c r="AW64" s="29"/>
      <c r="AX64" s="29"/>
      <c r="AY64" s="61"/>
      <c r="AZ64" s="61"/>
      <c r="BA64" s="61"/>
      <c r="BB64" s="28"/>
      <c r="BC64" s="28"/>
    </row>
    <row r="65" spans="1:55" s="14" customFormat="1" x14ac:dyDescent="0.2">
      <c r="A65" s="8" t="s">
        <v>29</v>
      </c>
      <c r="B65" s="9"/>
      <c r="C65" s="23" t="s">
        <v>223</v>
      </c>
      <c r="D65" s="5" t="s">
        <v>177</v>
      </c>
      <c r="E65" s="42">
        <v>1</v>
      </c>
      <c r="F65" s="42"/>
      <c r="G65" s="42"/>
      <c r="H65" s="42"/>
      <c r="I65" s="42"/>
      <c r="J65" s="42"/>
      <c r="K65" s="42"/>
      <c r="L65" s="42"/>
      <c r="M65" s="42">
        <f t="shared" si="4"/>
        <v>0</v>
      </c>
      <c r="N65" s="42"/>
      <c r="O65" s="50"/>
      <c r="P65" s="42"/>
      <c r="Q65" s="42"/>
      <c r="R65" s="42"/>
      <c r="S65" s="42">
        <v>1</v>
      </c>
      <c r="T65" s="42">
        <f>1-(F65+I65+Q65+S65)</f>
        <v>0</v>
      </c>
      <c r="U65" s="42"/>
      <c r="V65" s="42"/>
      <c r="W65" s="42"/>
      <c r="X65" s="42"/>
      <c r="Y65" s="42">
        <v>0</v>
      </c>
      <c r="Z65" s="42">
        <v>0</v>
      </c>
      <c r="AA65" s="42">
        <v>0</v>
      </c>
      <c r="AB65" s="42">
        <v>0</v>
      </c>
      <c r="AC65" s="42">
        <v>0</v>
      </c>
      <c r="AD65" s="42">
        <v>0.39300000000000002</v>
      </c>
      <c r="AE65" s="42">
        <v>0.60599999999999998</v>
      </c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28"/>
      <c r="AT65" s="29"/>
      <c r="AU65" s="29"/>
      <c r="AV65" s="29"/>
      <c r="AW65" s="29"/>
      <c r="AX65" s="29"/>
      <c r="AY65" s="61"/>
      <c r="AZ65" s="61"/>
      <c r="BA65" s="61"/>
      <c r="BB65" s="28"/>
      <c r="BC65" s="28"/>
    </row>
    <row r="66" spans="1:55" s="10" customFormat="1" x14ac:dyDescent="0.2">
      <c r="A66" s="8" t="s">
        <v>104</v>
      </c>
      <c r="B66" s="9"/>
      <c r="C66" s="23" t="s">
        <v>223</v>
      </c>
      <c r="D66" s="5" t="s">
        <v>177</v>
      </c>
      <c r="E66" s="42">
        <v>1</v>
      </c>
      <c r="F66" s="42"/>
      <c r="G66" s="42"/>
      <c r="H66" s="42"/>
      <c r="I66" s="42"/>
      <c r="J66" s="42"/>
      <c r="K66" s="42"/>
      <c r="L66" s="42"/>
      <c r="M66" s="42">
        <f t="shared" si="4"/>
        <v>0</v>
      </c>
      <c r="N66" s="42"/>
      <c r="O66" s="50"/>
      <c r="P66" s="42"/>
      <c r="Q66" s="42"/>
      <c r="R66" s="42"/>
      <c r="S66" s="42">
        <v>1</v>
      </c>
      <c r="T66" s="42">
        <f>1-(F66+I66+Q66+S66)</f>
        <v>0</v>
      </c>
      <c r="U66" s="42"/>
      <c r="V66" s="42"/>
      <c r="W66" s="42"/>
      <c r="X66" s="42"/>
      <c r="Y66" s="42">
        <v>0</v>
      </c>
      <c r="Z66" s="42">
        <v>0</v>
      </c>
      <c r="AA66" s="42">
        <v>9.8599999999999993E-2</v>
      </c>
      <c r="AB66" s="42">
        <v>0</v>
      </c>
      <c r="AC66" s="42">
        <v>0.13</v>
      </c>
      <c r="AD66" s="42">
        <v>0</v>
      </c>
      <c r="AE66" s="42">
        <v>0</v>
      </c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4"/>
      <c r="AS66" s="28"/>
      <c r="AT66" s="29"/>
      <c r="AU66" s="29"/>
      <c r="AV66" s="29"/>
      <c r="AW66" s="29"/>
      <c r="AX66" s="29"/>
      <c r="AY66" s="61"/>
      <c r="AZ66" s="61"/>
      <c r="BA66" s="61"/>
      <c r="BB66" s="30"/>
      <c r="BC66" s="30"/>
    </row>
    <row r="67" spans="1:55" s="10" customFormat="1" x14ac:dyDescent="0.2">
      <c r="A67" s="19" t="s">
        <v>91</v>
      </c>
      <c r="B67" s="9"/>
      <c r="C67" s="23" t="s">
        <v>221</v>
      </c>
      <c r="D67" s="5" t="s">
        <v>177</v>
      </c>
      <c r="E67" s="13">
        <v>0.92</v>
      </c>
      <c r="F67" s="13">
        <v>0.42299999999999999</v>
      </c>
      <c r="G67" s="13">
        <f t="shared" ref="G67:G81" si="26">F67-H67</f>
        <v>0.24110999999999999</v>
      </c>
      <c r="H67" s="13">
        <f>F67*0.43</f>
        <v>0.18189</v>
      </c>
      <c r="I67" s="13">
        <v>0.30599999999999999</v>
      </c>
      <c r="J67" s="15">
        <f t="shared" ref="J67:J72" si="27">(I67*K67)+(I67*(1-K67)*0.33)</f>
        <v>0.10098</v>
      </c>
      <c r="K67" s="13"/>
      <c r="L67" s="13"/>
      <c r="M67" s="13">
        <f t="shared" si="4"/>
        <v>0</v>
      </c>
      <c r="N67" s="13">
        <v>0.20200000000000001</v>
      </c>
      <c r="O67" s="16">
        <f t="shared" ref="O67:O82" si="28">(0.0245*P67*100)-0.12</f>
        <v>1.742</v>
      </c>
      <c r="P67" s="13">
        <v>0.76</v>
      </c>
      <c r="Q67" s="13">
        <v>3.1E-2</v>
      </c>
      <c r="R67" s="13">
        <f>Q67*0.98*(18.3+50.2+0.3)/100</f>
        <v>2.090144E-2</v>
      </c>
      <c r="S67" s="13">
        <v>6.7000000000000004E-2</v>
      </c>
      <c r="T67" s="15">
        <f t="shared" ref="T67:T74" si="29">1-(I67+Q67+S67+F67)</f>
        <v>0.17300000000000004</v>
      </c>
      <c r="U67" s="13">
        <v>1.2E-2</v>
      </c>
      <c r="V67" s="13">
        <v>0.35</v>
      </c>
      <c r="W67" s="22"/>
      <c r="X67" s="22"/>
      <c r="Y67" s="13">
        <v>2E-3</v>
      </c>
      <c r="Z67" s="13">
        <v>1.15E-2</v>
      </c>
      <c r="AA67" s="13">
        <v>6.1000000000000004E-3</v>
      </c>
      <c r="AB67" s="13">
        <v>1.6400000000000001E-2</v>
      </c>
      <c r="AC67" s="13">
        <v>4.0000000000000001E-3</v>
      </c>
      <c r="AD67" s="13">
        <v>6.9999999999999999E-4</v>
      </c>
      <c r="AE67" s="15">
        <v>6.9999999999999999E-4</v>
      </c>
      <c r="AF67" s="17"/>
      <c r="AG67" s="18">
        <v>14</v>
      </c>
      <c r="AH67" s="18">
        <v>24</v>
      </c>
      <c r="AI67" s="18">
        <v>67</v>
      </c>
      <c r="AJ67" s="18">
        <v>0.3</v>
      </c>
      <c r="AK67" s="17"/>
      <c r="AL67" s="17"/>
      <c r="AM67" s="17"/>
      <c r="AN67" s="17"/>
      <c r="AO67" s="17"/>
      <c r="AP67" s="17"/>
      <c r="AQ67" s="17"/>
      <c r="AR67" s="17"/>
      <c r="AS67" s="28"/>
      <c r="AT67" s="29">
        <v>0.25600000000000001</v>
      </c>
      <c r="AU67" s="29">
        <v>0.55500000000000005</v>
      </c>
      <c r="AV67" s="29">
        <v>0.189</v>
      </c>
      <c r="AW67" s="29">
        <v>6.8000000000000005E-2</v>
      </c>
      <c r="AX67" s="29">
        <v>0.92</v>
      </c>
      <c r="AY67" s="61">
        <v>1</v>
      </c>
      <c r="AZ67" s="61">
        <v>0.28000000000000003</v>
      </c>
      <c r="BA67" s="61">
        <v>1</v>
      </c>
      <c r="BB67" s="30"/>
      <c r="BC67" s="30"/>
    </row>
    <row r="68" spans="1:55" s="10" customFormat="1" x14ac:dyDescent="0.2">
      <c r="A68" s="27" t="s">
        <v>90</v>
      </c>
      <c r="B68" s="9"/>
      <c r="C68" s="23" t="s">
        <v>221</v>
      </c>
      <c r="D68" s="12" t="s">
        <v>177</v>
      </c>
      <c r="E68" s="13">
        <v>0.92</v>
      </c>
      <c r="F68" s="13">
        <v>0.48899999999999999</v>
      </c>
      <c r="G68" s="13">
        <f t="shared" si="26"/>
        <v>0.36675000000000002</v>
      </c>
      <c r="H68" s="13">
        <f>F68*0.25</f>
        <v>0.12225</v>
      </c>
      <c r="I68" s="13">
        <v>0.14000000000000001</v>
      </c>
      <c r="J68" s="15">
        <f t="shared" si="27"/>
        <v>4.6200000000000005E-2</v>
      </c>
      <c r="K68" s="13"/>
      <c r="L68" s="13"/>
      <c r="M68" s="13">
        <f t="shared" si="4"/>
        <v>0</v>
      </c>
      <c r="N68" s="13">
        <v>6.3E-2</v>
      </c>
      <c r="O68" s="16">
        <f t="shared" si="28"/>
        <v>1.7665000000000002</v>
      </c>
      <c r="P68" s="13">
        <v>0.77</v>
      </c>
      <c r="Q68" s="13">
        <v>1.6E-2</v>
      </c>
      <c r="R68" s="15">
        <f>Q68*0.975*(66.6+19.3+2.4)/100</f>
        <v>1.3774799999999999E-2</v>
      </c>
      <c r="S68" s="13">
        <v>5.8000000000000003E-2</v>
      </c>
      <c r="T68" s="15">
        <f t="shared" si="29"/>
        <v>0.29699999999999993</v>
      </c>
      <c r="U68" s="13">
        <v>0.11</v>
      </c>
      <c r="V68" s="13">
        <v>0.3</v>
      </c>
      <c r="W68" s="45"/>
      <c r="X68" s="45"/>
      <c r="Y68" s="13">
        <v>2E-3</v>
      </c>
      <c r="Z68" s="13">
        <v>6.4000000000000003E-3</v>
      </c>
      <c r="AA68" s="13">
        <v>3.2000000000000002E-3</v>
      </c>
      <c r="AB68" s="13">
        <v>1.32E-2</v>
      </c>
      <c r="AC68" s="13">
        <v>3.2000000000000002E-3</v>
      </c>
      <c r="AD68" s="13">
        <v>2.9999999999999997E-4</v>
      </c>
      <c r="AE68" s="13">
        <v>1E-3</v>
      </c>
      <c r="AF68" s="18"/>
      <c r="AG68" s="18">
        <v>13</v>
      </c>
      <c r="AH68" s="18">
        <v>33</v>
      </c>
      <c r="AI68" s="18">
        <v>54</v>
      </c>
      <c r="AJ68" s="18">
        <v>0.21</v>
      </c>
      <c r="AK68" s="18">
        <v>7.0000000000000007E-2</v>
      </c>
      <c r="AL68" s="39"/>
      <c r="AM68" s="39"/>
      <c r="AN68" s="39"/>
      <c r="AO68" s="39"/>
      <c r="AP68" s="39"/>
      <c r="AQ68" s="39"/>
      <c r="AR68" s="39"/>
      <c r="AS68" s="28"/>
      <c r="AT68" s="29">
        <v>0.61699999999999999</v>
      </c>
      <c r="AU68" s="29">
        <v>0.36599999999999999</v>
      </c>
      <c r="AV68" s="29">
        <v>1.7000000000000001E-2</v>
      </c>
      <c r="AW68" s="29">
        <v>0.161</v>
      </c>
      <c r="AX68" s="29">
        <v>0.9</v>
      </c>
      <c r="AY68" s="61">
        <v>1</v>
      </c>
      <c r="AZ68" s="61">
        <v>0.21</v>
      </c>
      <c r="BA68" s="61">
        <v>1</v>
      </c>
      <c r="BB68" s="30"/>
      <c r="BC68" s="30"/>
    </row>
    <row r="69" spans="1:55" s="10" customFormat="1" x14ac:dyDescent="0.2">
      <c r="A69" s="11" t="s">
        <v>137</v>
      </c>
      <c r="B69" s="9"/>
      <c r="C69" s="23" t="s">
        <v>221</v>
      </c>
      <c r="D69" s="12" t="s">
        <v>177</v>
      </c>
      <c r="E69" s="13">
        <v>0.9</v>
      </c>
      <c r="F69" s="13">
        <v>0.41499999999999998</v>
      </c>
      <c r="G69" s="13">
        <f t="shared" si="26"/>
        <v>0.29879999999999995</v>
      </c>
      <c r="H69" s="13">
        <f>F69*0.28</f>
        <v>0.11620000000000001</v>
      </c>
      <c r="I69" s="13">
        <v>0.27700000000000002</v>
      </c>
      <c r="J69" s="15">
        <f t="shared" si="27"/>
        <v>9.1410000000000019E-2</v>
      </c>
      <c r="K69" s="13"/>
      <c r="L69" s="13"/>
      <c r="M69" s="13">
        <f t="shared" si="4"/>
        <v>0</v>
      </c>
      <c r="N69" s="13">
        <v>0.20399999999999999</v>
      </c>
      <c r="O69" s="16">
        <f t="shared" si="28"/>
        <v>1.7175000000000002</v>
      </c>
      <c r="P69" s="13">
        <v>0.75</v>
      </c>
      <c r="Q69" s="13">
        <v>4.8000000000000001E-2</v>
      </c>
      <c r="R69" s="15">
        <f>Q69*0.799*(0.6+45.2+31.5+7.7)/100</f>
        <v>3.2599200000000009E-2</v>
      </c>
      <c r="S69" s="13">
        <v>7.3999999999999996E-2</v>
      </c>
      <c r="T69" s="15">
        <f t="shared" si="29"/>
        <v>0.18599999999999994</v>
      </c>
      <c r="U69" s="13">
        <v>2.5999999999999999E-2</v>
      </c>
      <c r="V69" s="13">
        <v>0.35</v>
      </c>
      <c r="W69" s="42"/>
      <c r="X69" s="42"/>
      <c r="Y69" s="13">
        <v>7.4999999999999997E-3</v>
      </c>
      <c r="Z69" s="13">
        <v>1.0999999999999999E-2</v>
      </c>
      <c r="AA69" s="13">
        <v>5.3E-3</v>
      </c>
      <c r="AB69" s="13">
        <v>1.41E-2</v>
      </c>
      <c r="AC69" s="13">
        <v>7.3000000000000001E-3</v>
      </c>
      <c r="AD69" s="13">
        <v>6.9999999999999999E-4</v>
      </c>
      <c r="AE69" s="15">
        <v>4.0000000000000002E-4</v>
      </c>
      <c r="AF69" s="17"/>
      <c r="AG69" s="18">
        <v>5</v>
      </c>
      <c r="AH69" s="18">
        <v>62</v>
      </c>
      <c r="AI69" s="18">
        <v>61</v>
      </c>
      <c r="AJ69" s="18">
        <v>1.0900000000000001</v>
      </c>
      <c r="AK69" s="17"/>
      <c r="AL69" s="17"/>
      <c r="AM69" s="17"/>
      <c r="AN69" s="17"/>
      <c r="AO69" s="17"/>
      <c r="AP69" s="17"/>
      <c r="AQ69" s="17"/>
      <c r="AR69" s="17"/>
      <c r="AS69" s="30"/>
      <c r="AT69" s="29">
        <v>0.23200000000000001</v>
      </c>
      <c r="AU69" s="29">
        <v>0.70399999999999996</v>
      </c>
      <c r="AV69" s="29">
        <v>6.4000000000000001E-2</v>
      </c>
      <c r="AW69" s="29">
        <v>0.104</v>
      </c>
      <c r="AX69" s="29">
        <v>0.75</v>
      </c>
      <c r="AY69" s="61">
        <v>1</v>
      </c>
      <c r="AZ69" s="61">
        <v>0.16</v>
      </c>
      <c r="BA69" s="61">
        <v>1</v>
      </c>
      <c r="BB69" s="30"/>
      <c r="BC69" s="30"/>
    </row>
    <row r="70" spans="1:55" s="10" customFormat="1" x14ac:dyDescent="0.2">
      <c r="A70" s="11" t="s">
        <v>138</v>
      </c>
      <c r="B70" s="9"/>
      <c r="C70" s="23" t="s">
        <v>221</v>
      </c>
      <c r="D70" s="5" t="s">
        <v>177</v>
      </c>
      <c r="E70" s="13">
        <v>0.93</v>
      </c>
      <c r="F70" s="13">
        <v>0.26300000000000001</v>
      </c>
      <c r="G70" s="13">
        <f t="shared" si="26"/>
        <v>0.19725000000000001</v>
      </c>
      <c r="H70" s="13">
        <f>F70*0.25</f>
        <v>6.5750000000000003E-2</v>
      </c>
      <c r="I70" s="13">
        <v>0.42</v>
      </c>
      <c r="J70" s="15">
        <f t="shared" si="27"/>
        <v>0.1386</v>
      </c>
      <c r="K70" s="13"/>
      <c r="L70" s="13"/>
      <c r="M70" s="13">
        <f t="shared" si="4"/>
        <v>0</v>
      </c>
      <c r="N70" s="13">
        <v>0.33</v>
      </c>
      <c r="O70" s="16">
        <f t="shared" si="28"/>
        <v>1.2765</v>
      </c>
      <c r="P70" s="13">
        <v>0.56999999999999995</v>
      </c>
      <c r="Q70" s="13">
        <v>2.5999999999999999E-2</v>
      </c>
      <c r="R70" s="15">
        <f>Q70*0.5077*(41.93+38.71+0.59)/100</f>
        <v>1.0722522460000002E-2</v>
      </c>
      <c r="S70" s="13">
        <v>7.0000000000000007E-2</v>
      </c>
      <c r="T70" s="15">
        <f t="shared" si="29"/>
        <v>0.22099999999999997</v>
      </c>
      <c r="U70" s="13">
        <v>0.1139</v>
      </c>
      <c r="V70" s="13">
        <v>0.35</v>
      </c>
      <c r="W70" s="45"/>
      <c r="X70" s="45"/>
      <c r="Y70" s="13">
        <v>4.7999999999999996E-3</v>
      </c>
      <c r="Z70" s="13">
        <v>0.01</v>
      </c>
      <c r="AA70" s="13">
        <v>6.3E-3</v>
      </c>
      <c r="AB70" s="13">
        <v>1.4999999999999999E-2</v>
      </c>
      <c r="AC70" s="13">
        <v>3.8999999999999998E-3</v>
      </c>
      <c r="AD70" s="13">
        <v>4.0000000000000002E-4</v>
      </c>
      <c r="AE70" s="15">
        <v>1.1999999999999999E-3</v>
      </c>
      <c r="AF70" s="17"/>
      <c r="AG70" s="17">
        <v>32</v>
      </c>
      <c r="AH70" s="18">
        <v>45</v>
      </c>
      <c r="AI70" s="18">
        <v>88</v>
      </c>
      <c r="AJ70" s="17">
        <v>0.5</v>
      </c>
      <c r="AK70" s="17"/>
      <c r="AL70" s="17"/>
      <c r="AM70" s="17"/>
      <c r="AN70" s="39"/>
      <c r="AO70" s="39"/>
      <c r="AP70" s="39"/>
      <c r="AQ70" s="39"/>
      <c r="AR70" s="39"/>
      <c r="AS70" s="30"/>
      <c r="AT70" s="29">
        <v>0.66700000000000004</v>
      </c>
      <c r="AU70" s="29">
        <v>0.317</v>
      </c>
      <c r="AV70" s="29">
        <v>1.6E-2</v>
      </c>
      <c r="AW70" s="29">
        <v>0.17</v>
      </c>
      <c r="AX70" s="29">
        <v>0.8</v>
      </c>
      <c r="AY70" s="61">
        <v>1</v>
      </c>
      <c r="AZ70" s="61">
        <v>0.27</v>
      </c>
      <c r="BA70" s="61">
        <v>1</v>
      </c>
      <c r="BB70" s="30"/>
      <c r="BC70" s="30"/>
    </row>
    <row r="71" spans="1:55" s="10" customFormat="1" x14ac:dyDescent="0.2">
      <c r="A71" s="11" t="s">
        <v>139</v>
      </c>
      <c r="B71" s="9"/>
      <c r="C71" s="23" t="s">
        <v>221</v>
      </c>
      <c r="D71" s="5" t="s">
        <v>177</v>
      </c>
      <c r="E71" s="13">
        <v>0.93</v>
      </c>
      <c r="F71" s="13">
        <v>0.40200000000000002</v>
      </c>
      <c r="G71" s="13">
        <f t="shared" si="26"/>
        <v>0.30149999999999999</v>
      </c>
      <c r="H71" s="13">
        <f>F71*0.25</f>
        <v>0.10050000000000001</v>
      </c>
      <c r="I71" s="13">
        <v>0.38</v>
      </c>
      <c r="J71" s="15">
        <f t="shared" si="27"/>
        <v>0.12540000000000001</v>
      </c>
      <c r="K71" s="13"/>
      <c r="L71" s="13"/>
      <c r="M71" s="13">
        <f t="shared" ref="M71:M96" si="30">IF(D71="C", 0,I71)</f>
        <v>0</v>
      </c>
      <c r="N71" s="13">
        <v>0.31</v>
      </c>
      <c r="O71" s="16">
        <f t="shared" si="28"/>
        <v>1.4725000000000001</v>
      </c>
      <c r="P71" s="13">
        <v>0.65</v>
      </c>
      <c r="Q71" s="13">
        <v>0.02</v>
      </c>
      <c r="R71" s="15">
        <f>Q71*0.508*(41.9+38.7+0.6)/100</f>
        <v>8.2499199999999991E-3</v>
      </c>
      <c r="S71" s="13">
        <v>7.6999999999999999E-2</v>
      </c>
      <c r="T71" s="15">
        <f t="shared" si="29"/>
        <v>0.121</v>
      </c>
      <c r="U71" s="13">
        <v>1.7999999999999999E-2</v>
      </c>
      <c r="V71" s="13">
        <v>0.35</v>
      </c>
      <c r="W71" s="45"/>
      <c r="X71" s="45"/>
      <c r="Y71" s="13">
        <v>4.7999999999999996E-3</v>
      </c>
      <c r="Z71" s="13">
        <v>0.01</v>
      </c>
      <c r="AA71" s="13">
        <v>6.3E-3</v>
      </c>
      <c r="AB71" s="13">
        <v>1.4999999999999999E-2</v>
      </c>
      <c r="AC71" s="13">
        <v>3.8999999999999998E-3</v>
      </c>
      <c r="AD71" s="13">
        <v>4.0000000000000002E-4</v>
      </c>
      <c r="AE71" s="15">
        <v>1.1999999999999999E-3</v>
      </c>
      <c r="AF71" s="17"/>
      <c r="AG71" s="17">
        <v>32</v>
      </c>
      <c r="AH71" s="18">
        <v>45</v>
      </c>
      <c r="AI71" s="18">
        <v>88</v>
      </c>
      <c r="AJ71" s="17">
        <v>0.5</v>
      </c>
      <c r="AK71" s="17"/>
      <c r="AL71" s="17"/>
      <c r="AM71" s="17"/>
      <c r="AN71" s="39"/>
      <c r="AO71" s="39"/>
      <c r="AP71" s="39"/>
      <c r="AQ71" s="39"/>
      <c r="AR71" s="39"/>
      <c r="AS71" s="28"/>
      <c r="AT71" s="29">
        <v>0.23200000000000001</v>
      </c>
      <c r="AU71" s="29">
        <v>0.70399999999999996</v>
      </c>
      <c r="AV71" s="29">
        <v>6.4000000000000001E-2</v>
      </c>
      <c r="AW71" s="29">
        <v>0.104</v>
      </c>
      <c r="AX71" s="29">
        <v>0.75</v>
      </c>
      <c r="AY71" s="61">
        <v>1</v>
      </c>
      <c r="AZ71" s="61">
        <v>0.3</v>
      </c>
      <c r="BA71" s="61">
        <v>1</v>
      </c>
      <c r="BB71" s="30"/>
      <c r="BC71" s="30"/>
    </row>
    <row r="72" spans="1:55" s="10" customFormat="1" x14ac:dyDescent="0.2">
      <c r="A72" s="11" t="s">
        <v>142</v>
      </c>
      <c r="B72" s="9"/>
      <c r="C72" s="23" t="s">
        <v>221</v>
      </c>
      <c r="D72" s="12" t="s">
        <v>177</v>
      </c>
      <c r="E72" s="22">
        <v>0.88</v>
      </c>
      <c r="F72" s="15">
        <v>0.33</v>
      </c>
      <c r="G72" s="13">
        <f t="shared" si="26"/>
        <v>0.21450000000000002</v>
      </c>
      <c r="H72" s="13">
        <f>F72*0.35</f>
        <v>0.11549999999999999</v>
      </c>
      <c r="I72" s="15">
        <v>0.314</v>
      </c>
      <c r="J72" s="15">
        <f t="shared" si="27"/>
        <v>0.10362</v>
      </c>
      <c r="K72" s="13"/>
      <c r="L72" s="13"/>
      <c r="M72" s="13">
        <f t="shared" si="30"/>
        <v>0</v>
      </c>
      <c r="N72" s="15">
        <v>0.183</v>
      </c>
      <c r="O72" s="16">
        <f t="shared" si="28"/>
        <v>1.7910000000000004</v>
      </c>
      <c r="P72" s="13">
        <v>0.78</v>
      </c>
      <c r="Q72" s="15">
        <v>1.4999999999999999E-2</v>
      </c>
      <c r="R72" s="22">
        <f>Q72*0.88*(18.9+14.2+56)/100</f>
        <v>1.1761199999999998E-2</v>
      </c>
      <c r="S72" s="15">
        <v>6.5000000000000002E-2</v>
      </c>
      <c r="T72" s="15">
        <f t="shared" si="29"/>
        <v>0.27600000000000002</v>
      </c>
      <c r="U72" s="15">
        <v>8.8999999999999996E-2</v>
      </c>
      <c r="V72" s="13">
        <v>0.35</v>
      </c>
      <c r="W72" s="45"/>
      <c r="X72" s="45"/>
      <c r="Y72" s="15">
        <v>4.0000000000000001E-3</v>
      </c>
      <c r="Z72" s="15">
        <v>8.3000000000000001E-3</v>
      </c>
      <c r="AA72" s="15">
        <v>5.4999999999999997E-3</v>
      </c>
      <c r="AB72" s="15">
        <v>1.2200000000000001E-2</v>
      </c>
      <c r="AC72" s="15">
        <v>3.7000000000000002E-3</v>
      </c>
      <c r="AD72" s="15">
        <v>8.9999999999999998E-4</v>
      </c>
      <c r="AE72" s="15">
        <v>0</v>
      </c>
      <c r="AF72" s="17"/>
      <c r="AG72" s="17">
        <v>19</v>
      </c>
      <c r="AH72" s="17">
        <v>39</v>
      </c>
      <c r="AI72" s="17">
        <v>69</v>
      </c>
      <c r="AJ72" s="17">
        <v>1.05</v>
      </c>
      <c r="AK72" s="17"/>
      <c r="AL72" s="17"/>
      <c r="AM72" s="39"/>
      <c r="AN72" s="39"/>
      <c r="AO72" s="39"/>
      <c r="AP72" s="39"/>
      <c r="AQ72" s="39"/>
      <c r="AR72" s="39"/>
      <c r="AS72" s="28"/>
      <c r="AT72" s="29">
        <v>0.17599999999999999</v>
      </c>
      <c r="AU72" s="29">
        <v>0.69899999999999995</v>
      </c>
      <c r="AV72" s="29">
        <v>0.125</v>
      </c>
      <c r="AW72" s="29">
        <v>5.3999999999999999E-2</v>
      </c>
      <c r="AX72" s="29">
        <v>0.85</v>
      </c>
      <c r="AY72" s="61">
        <v>1</v>
      </c>
      <c r="AZ72" s="61">
        <v>0.23</v>
      </c>
      <c r="BA72" s="61">
        <v>1</v>
      </c>
      <c r="BB72" s="30"/>
      <c r="BC72" s="30"/>
    </row>
    <row r="73" spans="1:55" s="10" customFormat="1" x14ac:dyDescent="0.2">
      <c r="A73" s="11" t="s">
        <v>141</v>
      </c>
      <c r="B73" s="9"/>
      <c r="C73" s="23" t="s">
        <v>221</v>
      </c>
      <c r="D73" s="5" t="s">
        <v>177</v>
      </c>
      <c r="E73" s="13">
        <v>0.9</v>
      </c>
      <c r="F73" s="13">
        <v>0.49</v>
      </c>
      <c r="G73" s="13">
        <f t="shared" si="26"/>
        <v>0.31850000000000001</v>
      </c>
      <c r="H73" s="13">
        <f>F73*0.35</f>
        <v>0.17149999999999999</v>
      </c>
      <c r="I73" s="13">
        <v>0.15</v>
      </c>
      <c r="J73" s="15">
        <f>(I73*K73)+(I73*(1-K73)*0.25)</f>
        <v>3.7499999999999999E-2</v>
      </c>
      <c r="K73" s="13"/>
      <c r="L73" s="13"/>
      <c r="M73" s="13">
        <f t="shared" si="30"/>
        <v>0</v>
      </c>
      <c r="N73" s="13">
        <v>7.9000000000000001E-2</v>
      </c>
      <c r="O73" s="16">
        <f t="shared" si="28"/>
        <v>1.9380000000000002</v>
      </c>
      <c r="P73" s="13">
        <v>0.84</v>
      </c>
      <c r="Q73" s="53">
        <v>2.8000000000000001E-2</v>
      </c>
      <c r="R73" s="22">
        <f>Q73*0.98*(0.4+13.2+54.2+8.4)/100</f>
        <v>2.0909279999999999E-2</v>
      </c>
      <c r="S73" s="13">
        <v>6.6000000000000003E-2</v>
      </c>
      <c r="T73" s="15">
        <f t="shared" si="29"/>
        <v>0.26600000000000001</v>
      </c>
      <c r="U73" s="13">
        <v>2.4E-2</v>
      </c>
      <c r="V73" s="13">
        <v>0.25</v>
      </c>
      <c r="W73" s="45"/>
      <c r="X73" s="45"/>
      <c r="Y73" s="13">
        <v>4.0000000000000001E-3</v>
      </c>
      <c r="Z73" s="13">
        <v>7.1000000000000004E-3</v>
      </c>
      <c r="AA73" s="13">
        <v>3.0999999999999999E-3</v>
      </c>
      <c r="AB73" s="13">
        <v>2.2200000000000001E-2</v>
      </c>
      <c r="AC73" s="13">
        <v>4.5999999999999999E-3</v>
      </c>
      <c r="AD73" s="13">
        <v>4.0000000000000002E-4</v>
      </c>
      <c r="AE73" s="15">
        <v>1.2999999999999999E-3</v>
      </c>
      <c r="AF73" s="17"/>
      <c r="AG73" s="17">
        <v>22</v>
      </c>
      <c r="AH73" s="17">
        <v>35</v>
      </c>
      <c r="AI73" s="17">
        <v>57</v>
      </c>
      <c r="AJ73" s="17">
        <v>0.21</v>
      </c>
      <c r="AK73" s="17"/>
      <c r="AL73" s="17"/>
      <c r="AM73" s="17"/>
      <c r="AN73" s="39"/>
      <c r="AO73" s="39"/>
      <c r="AP73" s="39"/>
      <c r="AQ73" s="39"/>
      <c r="AR73" s="39"/>
      <c r="AS73" s="28"/>
      <c r="AT73" s="29">
        <v>0.15</v>
      </c>
      <c r="AU73" s="29">
        <v>0.84399999999999997</v>
      </c>
      <c r="AV73" s="29">
        <v>6.0000000000000001E-3</v>
      </c>
      <c r="AW73" s="29">
        <v>7.4999999999999997E-2</v>
      </c>
      <c r="AX73" s="29">
        <v>0.93</v>
      </c>
      <c r="AY73" s="61">
        <v>1</v>
      </c>
      <c r="AZ73" s="61">
        <v>0.57999999999999996</v>
      </c>
      <c r="BA73" s="61">
        <v>1</v>
      </c>
      <c r="BB73" s="30"/>
      <c r="BC73" s="30"/>
    </row>
    <row r="74" spans="1:55" s="10" customFormat="1" x14ac:dyDescent="0.2">
      <c r="A74" s="11" t="s">
        <v>140</v>
      </c>
      <c r="B74" s="9"/>
      <c r="C74" s="23" t="s">
        <v>221</v>
      </c>
      <c r="D74" s="5" t="s">
        <v>177</v>
      </c>
      <c r="E74" s="13">
        <v>0.9</v>
      </c>
      <c r="F74" s="13">
        <v>0.52500000000000002</v>
      </c>
      <c r="G74" s="13">
        <f t="shared" si="26"/>
        <v>0.23624999999999996</v>
      </c>
      <c r="H74" s="13">
        <f>F74*0.55</f>
        <v>0.28875000000000006</v>
      </c>
      <c r="I74" s="13">
        <v>0.27800000000000002</v>
      </c>
      <c r="J74" s="15">
        <f>(I74*K74)+(I74*(1-K74)*0.25)</f>
        <v>6.9500000000000006E-2</v>
      </c>
      <c r="K74" s="13"/>
      <c r="L74" s="13"/>
      <c r="M74" s="13">
        <f t="shared" si="30"/>
        <v>0</v>
      </c>
      <c r="N74" s="13">
        <v>9.1999999999999998E-2</v>
      </c>
      <c r="O74" s="16">
        <f t="shared" si="28"/>
        <v>1.8889999999999998</v>
      </c>
      <c r="P74" s="13">
        <v>0.82</v>
      </c>
      <c r="Q74" s="13">
        <v>1.4999999999999999E-2</v>
      </c>
      <c r="R74" s="22">
        <f>Q74*0.98*(12.8+55.4+8.6)/100</f>
        <v>1.12896E-2</v>
      </c>
      <c r="S74" s="13">
        <v>6.6000000000000003E-2</v>
      </c>
      <c r="T74" s="15">
        <f t="shared" si="29"/>
        <v>0.11599999999999988</v>
      </c>
      <c r="U74" s="13">
        <v>6.0000000000000001E-3</v>
      </c>
      <c r="V74" s="13">
        <v>0.25</v>
      </c>
      <c r="W74" s="45"/>
      <c r="X74" s="45"/>
      <c r="Y74" s="13">
        <v>4.0000000000000001E-3</v>
      </c>
      <c r="Z74" s="13">
        <v>7.1000000000000004E-3</v>
      </c>
      <c r="AA74" s="13">
        <v>3.0999999999999999E-3</v>
      </c>
      <c r="AB74" s="13">
        <v>2.2200000000000001E-2</v>
      </c>
      <c r="AC74" s="13">
        <v>4.5999999999999999E-3</v>
      </c>
      <c r="AD74" s="13">
        <v>4.0000000000000002E-4</v>
      </c>
      <c r="AE74" s="15">
        <v>1.2999999999999999E-3</v>
      </c>
      <c r="AF74" s="17"/>
      <c r="AG74" s="17">
        <v>22</v>
      </c>
      <c r="AH74" s="17">
        <v>35</v>
      </c>
      <c r="AI74" s="17">
        <v>57</v>
      </c>
      <c r="AJ74" s="17">
        <v>0.21</v>
      </c>
      <c r="AK74" s="17"/>
      <c r="AL74" s="17"/>
      <c r="AM74" s="17"/>
      <c r="AN74" s="39"/>
      <c r="AO74" s="39"/>
      <c r="AP74" s="39"/>
      <c r="AQ74" s="39"/>
      <c r="AR74" s="39"/>
      <c r="AS74" s="28"/>
      <c r="AT74" s="29">
        <v>0.1</v>
      </c>
      <c r="AU74" s="29">
        <v>0.85</v>
      </c>
      <c r="AV74" s="29">
        <v>0.05</v>
      </c>
      <c r="AW74" s="29">
        <v>3.78E-2</v>
      </c>
      <c r="AX74" s="29">
        <v>0.8</v>
      </c>
      <c r="AY74" s="61">
        <v>1</v>
      </c>
      <c r="AZ74" s="61">
        <v>0.59</v>
      </c>
      <c r="BA74" s="61">
        <v>1</v>
      </c>
      <c r="BB74" s="30"/>
      <c r="BC74" s="30"/>
    </row>
    <row r="75" spans="1:55" s="10" customFormat="1" x14ac:dyDescent="0.2">
      <c r="A75" s="11" t="s">
        <v>143</v>
      </c>
      <c r="B75" s="9"/>
      <c r="C75" s="23" t="s">
        <v>221</v>
      </c>
      <c r="D75" s="5" t="s">
        <v>177</v>
      </c>
      <c r="E75" s="13">
        <v>0.93899999999999995</v>
      </c>
      <c r="F75" s="13">
        <v>0.58199999999999996</v>
      </c>
      <c r="G75" s="13">
        <f t="shared" si="26"/>
        <v>0.14549999999999996</v>
      </c>
      <c r="H75" s="13">
        <f>F75*0.75</f>
        <v>0.4365</v>
      </c>
      <c r="I75" s="13">
        <v>0.08</v>
      </c>
      <c r="J75" s="15"/>
      <c r="K75" s="13"/>
      <c r="L75" s="13"/>
      <c r="M75" s="13">
        <f t="shared" si="30"/>
        <v>0</v>
      </c>
      <c r="N75" s="13">
        <v>0.05</v>
      </c>
      <c r="O75" s="16">
        <f t="shared" si="28"/>
        <v>1.6194999999999999</v>
      </c>
      <c r="P75" s="13">
        <v>0.71</v>
      </c>
      <c r="Q75" s="13">
        <v>0.123</v>
      </c>
      <c r="R75" s="15">
        <f>Q75*0.608*(40.4+3.7+0.1)/100</f>
        <v>3.3054528E-2</v>
      </c>
      <c r="S75" s="13">
        <v>0.22900000000000001</v>
      </c>
      <c r="T75" s="15">
        <v>0</v>
      </c>
      <c r="U75" s="13">
        <v>0</v>
      </c>
      <c r="V75" s="13">
        <v>0</v>
      </c>
      <c r="W75" s="45"/>
      <c r="X75" s="45"/>
      <c r="Y75" s="13">
        <v>8.8599999999999998E-2</v>
      </c>
      <c r="Z75" s="13">
        <v>4.2000000000000003E-2</v>
      </c>
      <c r="AA75" s="13">
        <v>2.5999999999999999E-3</v>
      </c>
      <c r="AB75" s="13">
        <v>4.8999999999999998E-3</v>
      </c>
      <c r="AC75" s="13">
        <v>5.1000000000000004E-3</v>
      </c>
      <c r="AD75" s="13">
        <v>7.7999999999999996E-3</v>
      </c>
      <c r="AE75" s="13">
        <v>4.4000000000000003E-3</v>
      </c>
      <c r="AF75" s="18"/>
      <c r="AG75" s="18">
        <v>21</v>
      </c>
      <c r="AH75" s="18">
        <v>26</v>
      </c>
      <c r="AI75" s="18">
        <v>114</v>
      </c>
      <c r="AJ75" s="18">
        <v>0.45</v>
      </c>
      <c r="AK75" s="18"/>
      <c r="AL75" s="18"/>
      <c r="AM75" s="18"/>
      <c r="AN75" s="18"/>
      <c r="AO75" s="17"/>
      <c r="AP75" s="17"/>
      <c r="AQ75" s="39"/>
      <c r="AR75" s="39"/>
      <c r="AS75" s="28"/>
      <c r="AT75" s="29"/>
      <c r="AU75" s="29"/>
      <c r="AV75" s="29"/>
      <c r="AW75" s="29"/>
      <c r="AX75" s="29"/>
      <c r="AY75" s="61"/>
      <c r="AZ75" s="61"/>
      <c r="BA75" s="61"/>
      <c r="BB75" s="30"/>
      <c r="BC75" s="30"/>
    </row>
    <row r="76" spans="1:55" s="10" customFormat="1" x14ac:dyDescent="0.2">
      <c r="A76" s="11" t="s">
        <v>144</v>
      </c>
      <c r="B76" s="9"/>
      <c r="C76" s="23" t="s">
        <v>221</v>
      </c>
      <c r="D76" s="5" t="s">
        <v>177</v>
      </c>
      <c r="E76" s="13">
        <v>0.95</v>
      </c>
      <c r="F76" s="13">
        <v>0.5</v>
      </c>
      <c r="G76" s="13">
        <f t="shared" si="26"/>
        <v>0.25</v>
      </c>
      <c r="H76" s="13">
        <f>F76*0.5</f>
        <v>0.25</v>
      </c>
      <c r="I76" s="13">
        <v>7.2999999999999995E-2</v>
      </c>
      <c r="J76" s="15"/>
      <c r="K76" s="13"/>
      <c r="L76" s="13"/>
      <c r="M76" s="13">
        <f t="shared" si="30"/>
        <v>0</v>
      </c>
      <c r="N76" s="13">
        <v>0.04</v>
      </c>
      <c r="O76" s="16">
        <f t="shared" si="28"/>
        <v>1.4725000000000001</v>
      </c>
      <c r="P76" s="13">
        <v>0.65</v>
      </c>
      <c r="Q76" s="13">
        <v>0.123</v>
      </c>
      <c r="R76" s="15">
        <f>Q76*0.608*(0+13.5+55.9+4.3)/100</f>
        <v>5.5115808000000009E-2</v>
      </c>
      <c r="S76" s="13">
        <v>0.30399999999999999</v>
      </c>
      <c r="T76" s="15">
        <v>0</v>
      </c>
      <c r="U76" s="13">
        <v>0</v>
      </c>
      <c r="V76" s="13">
        <v>0</v>
      </c>
      <c r="W76" s="45"/>
      <c r="X76" s="45"/>
      <c r="Y76" s="13">
        <v>0.106</v>
      </c>
      <c r="Z76" s="13">
        <v>4.7300000000000002E-2</v>
      </c>
      <c r="AA76" s="13">
        <v>2.3999999999999998E-3</v>
      </c>
      <c r="AB76" s="13">
        <v>1.0200000000000001E-2</v>
      </c>
      <c r="AC76" s="13">
        <v>3.8999999999999998E-3</v>
      </c>
      <c r="AD76" s="13">
        <v>7.1000000000000004E-3</v>
      </c>
      <c r="AE76" s="13">
        <v>4.4000000000000003E-3</v>
      </c>
      <c r="AF76" s="18"/>
      <c r="AG76" s="18">
        <v>10</v>
      </c>
      <c r="AH76" s="18">
        <v>22</v>
      </c>
      <c r="AI76" s="18">
        <v>94</v>
      </c>
      <c r="AJ76" s="18"/>
      <c r="AK76" s="18"/>
      <c r="AL76" s="18"/>
      <c r="AM76" s="18"/>
      <c r="AN76" s="18"/>
      <c r="AO76" s="17"/>
      <c r="AP76" s="17"/>
      <c r="AQ76" s="39"/>
      <c r="AR76" s="39"/>
      <c r="AS76" s="28"/>
      <c r="AT76" s="29"/>
      <c r="AU76" s="29"/>
      <c r="AV76" s="29"/>
      <c r="AW76" s="29"/>
      <c r="AX76" s="29"/>
      <c r="AY76" s="61"/>
      <c r="AZ76" s="61"/>
      <c r="BA76" s="61"/>
      <c r="BB76" s="30"/>
      <c r="BC76" s="30"/>
    </row>
    <row r="77" spans="1:55" s="10" customFormat="1" x14ac:dyDescent="0.2">
      <c r="A77" s="11" t="s">
        <v>86</v>
      </c>
      <c r="B77" s="9"/>
      <c r="C77" s="23" t="s">
        <v>221</v>
      </c>
      <c r="D77" s="5" t="s">
        <v>177</v>
      </c>
      <c r="E77" s="13">
        <v>0.9</v>
      </c>
      <c r="F77" s="13">
        <v>0.63300000000000001</v>
      </c>
      <c r="G77" s="13">
        <f t="shared" si="26"/>
        <v>0.18990000000000001</v>
      </c>
      <c r="H77" s="13">
        <f>F77*0.7</f>
        <v>0.44309999999999999</v>
      </c>
      <c r="I77" s="13">
        <v>8.3000000000000004E-2</v>
      </c>
      <c r="J77" s="15"/>
      <c r="K77" s="13"/>
      <c r="L77" s="13"/>
      <c r="M77" s="13">
        <f t="shared" si="30"/>
        <v>0</v>
      </c>
      <c r="N77" s="13">
        <v>1.6E-2</v>
      </c>
      <c r="O77" s="16">
        <f t="shared" si="28"/>
        <v>1.6685000000000003</v>
      </c>
      <c r="P77" s="13">
        <v>0.73</v>
      </c>
      <c r="Q77" s="13">
        <v>9.4E-2</v>
      </c>
      <c r="R77" s="15">
        <f>Q77*0.685*(0.2+11+1.1+1)/100</f>
        <v>8.5638699999999995E-3</v>
      </c>
      <c r="S77" s="13">
        <v>0.19700000000000001</v>
      </c>
      <c r="T77" s="15">
        <v>0</v>
      </c>
      <c r="U77" s="13">
        <v>0</v>
      </c>
      <c r="V77" s="13">
        <v>0</v>
      </c>
      <c r="W77" s="45"/>
      <c r="X77" s="45"/>
      <c r="Y77" s="13">
        <v>5.3400000000000003E-2</v>
      </c>
      <c r="Z77" s="13">
        <v>3.0499999999999999E-2</v>
      </c>
      <c r="AA77" s="13">
        <v>2E-3</v>
      </c>
      <c r="AB77" s="13">
        <v>7.4000000000000003E-3</v>
      </c>
      <c r="AC77" s="13">
        <v>1.1599999999999999E-2</v>
      </c>
      <c r="AD77" s="13">
        <v>6.7999999999999996E-3</v>
      </c>
      <c r="AE77" s="13">
        <v>8.0000000000000002E-3</v>
      </c>
      <c r="AF77" s="18"/>
      <c r="AG77" s="18">
        <v>7</v>
      </c>
      <c r="AH77" s="18">
        <v>32</v>
      </c>
      <c r="AI77" s="18">
        <v>112</v>
      </c>
      <c r="AJ77" s="18">
        <v>2.2599999999999998</v>
      </c>
      <c r="AK77" s="18">
        <v>1.19</v>
      </c>
      <c r="AL77" s="18"/>
      <c r="AM77" s="18"/>
      <c r="AN77" s="18"/>
      <c r="AO77" s="17"/>
      <c r="AP77" s="17"/>
      <c r="AQ77" s="39"/>
      <c r="AR77" s="39"/>
      <c r="AS77" s="28"/>
      <c r="AT77" s="29"/>
      <c r="AU77" s="29"/>
      <c r="AV77" s="29"/>
      <c r="AW77" s="29"/>
      <c r="AX77" s="29"/>
      <c r="AY77" s="61"/>
      <c r="AZ77" s="61"/>
      <c r="BA77" s="61"/>
      <c r="BB77" s="30"/>
      <c r="BC77" s="30"/>
    </row>
    <row r="78" spans="1:55" s="10" customFormat="1" x14ac:dyDescent="0.2">
      <c r="A78" s="11" t="s">
        <v>85</v>
      </c>
      <c r="B78" s="9"/>
      <c r="C78" s="23" t="s">
        <v>221</v>
      </c>
      <c r="D78" s="5" t="s">
        <v>177</v>
      </c>
      <c r="E78" s="13">
        <v>0.93300000000000005</v>
      </c>
      <c r="F78" s="13">
        <v>0.85</v>
      </c>
      <c r="G78" s="13">
        <f t="shared" si="26"/>
        <v>0.255</v>
      </c>
      <c r="H78" s="13">
        <f>F78*0.7</f>
        <v>0.59499999999999997</v>
      </c>
      <c r="I78" s="13">
        <v>0.02</v>
      </c>
      <c r="J78" s="15"/>
      <c r="K78" s="13"/>
      <c r="L78" s="13"/>
      <c r="M78" s="13">
        <f t="shared" si="30"/>
        <v>0</v>
      </c>
      <c r="N78" s="13">
        <v>0.01</v>
      </c>
      <c r="O78" s="16">
        <f t="shared" si="28"/>
        <v>1.5705</v>
      </c>
      <c r="P78" s="13">
        <v>0.69</v>
      </c>
      <c r="Q78" s="13">
        <v>0.1</v>
      </c>
      <c r="R78" s="22">
        <f>Q78*0.785*(1.1+32.5+13.2+0.5)/100</f>
        <v>3.7130500000000004E-2</v>
      </c>
      <c r="S78" s="13">
        <v>3.5000000000000003E-2</v>
      </c>
      <c r="T78" s="15">
        <v>0</v>
      </c>
      <c r="U78" s="13">
        <v>0</v>
      </c>
      <c r="V78" s="13">
        <v>0</v>
      </c>
      <c r="W78" s="45"/>
      <c r="X78" s="45"/>
      <c r="Y78" s="13">
        <v>3.3E-3</v>
      </c>
      <c r="Z78" s="13">
        <v>5.0000000000000001E-3</v>
      </c>
      <c r="AA78" s="13">
        <v>2.2000000000000001E-3</v>
      </c>
      <c r="AB78" s="13">
        <v>3.3E-3</v>
      </c>
      <c r="AC78" s="13">
        <v>1.3899999999999999E-2</v>
      </c>
      <c r="AD78" s="13">
        <v>3.3999999999999998E-3</v>
      </c>
      <c r="AE78" s="13">
        <v>2.5999999999999999E-3</v>
      </c>
      <c r="AF78" s="18">
        <v>0.04</v>
      </c>
      <c r="AG78" s="18">
        <v>10</v>
      </c>
      <c r="AH78" s="18">
        <v>10</v>
      </c>
      <c r="AI78" s="18">
        <v>111</v>
      </c>
      <c r="AJ78" s="18">
        <v>0.69</v>
      </c>
      <c r="AK78" s="18">
        <v>0.04</v>
      </c>
      <c r="AL78" s="18"/>
      <c r="AM78" s="18"/>
      <c r="AN78" s="18"/>
      <c r="AO78" s="17"/>
      <c r="AP78" s="17"/>
      <c r="AQ78" s="39"/>
      <c r="AR78" s="39"/>
      <c r="AS78" s="28"/>
      <c r="AT78" s="29"/>
      <c r="AU78" s="29"/>
      <c r="AV78" s="29"/>
      <c r="AW78" s="29"/>
      <c r="AX78" s="29"/>
      <c r="AY78" s="61"/>
      <c r="AZ78" s="61"/>
      <c r="BA78" s="61"/>
      <c r="BB78" s="30"/>
      <c r="BC78" s="30"/>
    </row>
    <row r="79" spans="1:55" s="14" customFormat="1" x14ac:dyDescent="0.2">
      <c r="A79" s="11" t="s">
        <v>84</v>
      </c>
      <c r="B79" s="9"/>
      <c r="C79" s="23" t="s">
        <v>221</v>
      </c>
      <c r="D79" s="5" t="s">
        <v>177</v>
      </c>
      <c r="E79" s="13">
        <v>0.9</v>
      </c>
      <c r="F79" s="13">
        <v>0.95</v>
      </c>
      <c r="G79" s="13">
        <f t="shared" si="26"/>
        <v>0.33250000000000002</v>
      </c>
      <c r="H79" s="13">
        <f>F79*0.65</f>
        <v>0.61749999999999994</v>
      </c>
      <c r="I79" s="13">
        <v>0</v>
      </c>
      <c r="J79" s="15"/>
      <c r="K79" s="13"/>
      <c r="L79" s="13"/>
      <c r="M79" s="13">
        <f t="shared" si="30"/>
        <v>0</v>
      </c>
      <c r="N79" s="13"/>
      <c r="O79" s="16">
        <f t="shared" si="28"/>
        <v>1.4969999999999999</v>
      </c>
      <c r="P79" s="13">
        <v>0.66</v>
      </c>
      <c r="Q79" s="13">
        <v>1.4999999999999999E-2</v>
      </c>
      <c r="R79" s="22">
        <f>Q79*0.87*(5.13+26.47+14.89+0.46)/100</f>
        <v>6.1269749999999989E-3</v>
      </c>
      <c r="S79" s="13">
        <v>2.5000000000000001E-2</v>
      </c>
      <c r="T79" s="15">
        <v>0</v>
      </c>
      <c r="U79" s="13">
        <v>0</v>
      </c>
      <c r="V79" s="13">
        <v>0</v>
      </c>
      <c r="W79" s="45"/>
      <c r="X79" s="45"/>
      <c r="Y79" s="13">
        <v>3.0000000000000001E-3</v>
      </c>
      <c r="Z79" s="13">
        <v>3.0000000000000001E-3</v>
      </c>
      <c r="AA79" s="13">
        <v>2.9999999999999997E-4</v>
      </c>
      <c r="AB79" s="13">
        <v>3.3E-3</v>
      </c>
      <c r="AC79" s="13">
        <v>7.7000000000000002E-3</v>
      </c>
      <c r="AD79" s="13">
        <v>4.0000000000000001E-3</v>
      </c>
      <c r="AE79" s="13">
        <v>3.3E-3</v>
      </c>
      <c r="AF79" s="18"/>
      <c r="AG79" s="18">
        <v>10</v>
      </c>
      <c r="AH79" s="18">
        <v>9</v>
      </c>
      <c r="AI79" s="18">
        <v>33</v>
      </c>
      <c r="AJ79" s="18">
        <v>0.77</v>
      </c>
      <c r="AK79" s="18"/>
      <c r="AL79" s="18"/>
      <c r="AM79" s="18"/>
      <c r="AN79" s="18"/>
      <c r="AO79" s="17"/>
      <c r="AP79" s="17"/>
      <c r="AQ79" s="39"/>
      <c r="AR79" s="39"/>
      <c r="AS79" s="28"/>
      <c r="AT79" s="29"/>
      <c r="AU79" s="29"/>
      <c r="AV79" s="29"/>
      <c r="AW79" s="29"/>
      <c r="AX79" s="29"/>
      <c r="AY79" s="61"/>
      <c r="AZ79" s="61"/>
      <c r="BA79" s="61"/>
      <c r="BB79" s="28"/>
      <c r="BC79" s="28"/>
    </row>
    <row r="80" spans="1:55" s="14" customFormat="1" x14ac:dyDescent="0.2">
      <c r="A80" s="11" t="s">
        <v>267</v>
      </c>
      <c r="B80" s="9"/>
      <c r="C80" s="23" t="s">
        <v>221</v>
      </c>
      <c r="D80" s="5" t="s">
        <v>177</v>
      </c>
      <c r="E80" s="13">
        <v>0.89449999999999996</v>
      </c>
      <c r="F80" s="13">
        <v>0.48</v>
      </c>
      <c r="G80" s="13">
        <v>8.6639999999999995E-2</v>
      </c>
      <c r="H80" s="13">
        <v>0.39335999999999999</v>
      </c>
      <c r="I80" s="13">
        <v>0.36899999999999999</v>
      </c>
      <c r="J80" s="15">
        <v>0.12177</v>
      </c>
      <c r="K80" s="13"/>
      <c r="L80" s="13"/>
      <c r="M80" s="13">
        <f t="shared" si="30"/>
        <v>0</v>
      </c>
      <c r="N80" s="13">
        <v>0.11700000000000001</v>
      </c>
      <c r="O80" s="16">
        <f t="shared" si="28"/>
        <v>1.9135</v>
      </c>
      <c r="P80" s="13">
        <v>0.83</v>
      </c>
      <c r="Q80" s="13">
        <v>6.9000000000000006E-2</v>
      </c>
      <c r="R80" s="22">
        <v>2.4775002000000004E-2</v>
      </c>
      <c r="S80" s="13">
        <v>3.5400000000000001E-2</v>
      </c>
      <c r="T80" s="15">
        <v>4.6599999999999975E-2</v>
      </c>
      <c r="U80" s="13">
        <v>2.3E-2</v>
      </c>
      <c r="V80" s="13">
        <v>0.3</v>
      </c>
      <c r="W80" s="45">
        <v>9.4999999999999998E-3</v>
      </c>
      <c r="X80" s="45">
        <v>1.7000000000000001E-2</v>
      </c>
      <c r="Y80" s="13">
        <v>5.0000000000000001E-4</v>
      </c>
      <c r="Z80" s="13">
        <v>5.5999999999999999E-3</v>
      </c>
      <c r="AA80" s="13">
        <v>1.4E-3</v>
      </c>
      <c r="AB80" s="13">
        <v>5.7000000000000002E-3</v>
      </c>
      <c r="AC80" s="13">
        <v>6.4000000000000003E-3</v>
      </c>
      <c r="AD80" s="13">
        <v>2.0000000000000001E-4</v>
      </c>
      <c r="AE80" s="13">
        <v>1.9E-3</v>
      </c>
      <c r="AF80" s="18"/>
      <c r="AG80" s="18">
        <v>8.5</v>
      </c>
      <c r="AH80" s="18">
        <v>11.5</v>
      </c>
      <c r="AI80" s="18">
        <v>63.5</v>
      </c>
      <c r="AJ80" s="18"/>
      <c r="AK80" s="18"/>
      <c r="AL80" s="18"/>
      <c r="AM80" s="18"/>
      <c r="AN80" s="18"/>
      <c r="AO80" s="17"/>
      <c r="AP80" s="17"/>
      <c r="AQ80" s="39"/>
      <c r="AR80" s="39"/>
      <c r="AS80" s="28"/>
      <c r="AT80" s="29">
        <v>0.01</v>
      </c>
      <c r="AU80" s="29">
        <v>0.98</v>
      </c>
      <c r="AV80" s="29">
        <v>0.01</v>
      </c>
      <c r="AW80" s="29">
        <v>2.0199999999999999E-2</v>
      </c>
      <c r="AX80" s="29">
        <v>0.85</v>
      </c>
      <c r="AY80" s="61">
        <v>1</v>
      </c>
      <c r="AZ80" s="61">
        <v>0.54</v>
      </c>
      <c r="BA80" s="61">
        <v>1</v>
      </c>
      <c r="BB80" s="28"/>
      <c r="BC80" s="28"/>
    </row>
    <row r="81" spans="1:55" s="14" customFormat="1" x14ac:dyDescent="0.2">
      <c r="A81" s="19" t="s">
        <v>73</v>
      </c>
      <c r="B81" s="9"/>
      <c r="C81" s="23" t="s">
        <v>221</v>
      </c>
      <c r="D81" s="12" t="s">
        <v>177</v>
      </c>
      <c r="E81" s="13">
        <v>0.91600000000000004</v>
      </c>
      <c r="F81" s="13">
        <v>0.65500000000000003</v>
      </c>
      <c r="G81" s="13">
        <f t="shared" si="26"/>
        <v>0.29474999999999996</v>
      </c>
      <c r="H81" s="13">
        <f>F81*0.55</f>
        <v>0.36025000000000007</v>
      </c>
      <c r="I81" s="13">
        <v>7.0999999999999994E-2</v>
      </c>
      <c r="J81" s="15">
        <f>(I81*K81)+(I81*(1-K81)*0.33)</f>
        <v>2.3429999999999999E-2</v>
      </c>
      <c r="K81" s="13"/>
      <c r="L81" s="13"/>
      <c r="M81" s="13">
        <f t="shared" si="30"/>
        <v>0</v>
      </c>
      <c r="N81" s="13">
        <v>5.2999999999999999E-2</v>
      </c>
      <c r="O81" s="16">
        <f t="shared" si="28"/>
        <v>2.0605000000000002</v>
      </c>
      <c r="P81" s="22">
        <v>0.89</v>
      </c>
      <c r="Q81" s="13">
        <v>2.7E-2</v>
      </c>
      <c r="R81" s="22">
        <f>Q81*0.95*(22.2+57.5+2.8)/100</f>
        <v>2.116125E-2</v>
      </c>
      <c r="S81" s="13">
        <v>3.3000000000000002E-2</v>
      </c>
      <c r="T81" s="15">
        <f>1-(I81+Q81+S81+F81)</f>
        <v>0.21399999999999997</v>
      </c>
      <c r="U81" s="13">
        <v>0.16200000000000001</v>
      </c>
      <c r="V81" s="13">
        <v>0.2</v>
      </c>
      <c r="W81" s="45"/>
      <c r="X81" s="45"/>
      <c r="Y81" s="13">
        <v>5.9999999999999995E-4</v>
      </c>
      <c r="Z81" s="13">
        <v>6.0000000000000001E-3</v>
      </c>
      <c r="AA81" s="13">
        <v>1.4E-3</v>
      </c>
      <c r="AB81" s="13">
        <v>4.5999999999999999E-3</v>
      </c>
      <c r="AC81" s="13">
        <v>8.6E-3</v>
      </c>
      <c r="AD81" s="13">
        <v>5.0000000000000001E-4</v>
      </c>
      <c r="AE81" s="13">
        <v>1.1000000000000001E-3</v>
      </c>
      <c r="AF81" s="18"/>
      <c r="AG81" s="18">
        <v>4</v>
      </c>
      <c r="AH81" s="18">
        <v>15</v>
      </c>
      <c r="AI81" s="18">
        <v>49</v>
      </c>
      <c r="AJ81" s="18">
        <v>0.34</v>
      </c>
      <c r="AK81" s="18"/>
      <c r="AL81" s="18"/>
      <c r="AM81" s="18"/>
      <c r="AN81" s="18"/>
      <c r="AO81" s="58"/>
      <c r="AP81" s="17"/>
      <c r="AQ81" s="17"/>
      <c r="AR81" s="17"/>
      <c r="AS81" s="30"/>
      <c r="AT81" s="29">
        <v>3.9E-2</v>
      </c>
      <c r="AU81" s="29">
        <v>0.90900000000000003</v>
      </c>
      <c r="AV81" s="29">
        <v>5.1999999999999998E-2</v>
      </c>
      <c r="AW81" s="29">
        <v>2.3E-2</v>
      </c>
      <c r="AX81" s="29">
        <v>0.92</v>
      </c>
      <c r="AY81" s="61">
        <v>1</v>
      </c>
      <c r="AZ81" s="61">
        <v>0.27</v>
      </c>
      <c r="BA81" s="61">
        <v>1</v>
      </c>
      <c r="BB81" s="28"/>
      <c r="BC81" s="28"/>
    </row>
    <row r="82" spans="1:55" s="14" customFormat="1" x14ac:dyDescent="0.2">
      <c r="A82" s="19" t="s">
        <v>83</v>
      </c>
      <c r="B82" s="9"/>
      <c r="C82" s="23" t="s">
        <v>221</v>
      </c>
      <c r="D82" s="12" t="s">
        <v>177</v>
      </c>
      <c r="E82" s="22">
        <v>0.93</v>
      </c>
      <c r="F82" s="22">
        <v>0.44400000000000001</v>
      </c>
      <c r="G82" s="22">
        <v>0.25750000000000001</v>
      </c>
      <c r="H82" s="22">
        <v>0.1865</v>
      </c>
      <c r="I82" s="22"/>
      <c r="J82" s="22"/>
      <c r="K82" s="22"/>
      <c r="L82" s="22"/>
      <c r="M82" s="13">
        <f t="shared" si="30"/>
        <v>0</v>
      </c>
      <c r="N82" s="22"/>
      <c r="O82" s="16">
        <f t="shared" si="28"/>
        <v>1.742</v>
      </c>
      <c r="P82" s="22">
        <v>0.76</v>
      </c>
      <c r="Q82" s="22">
        <v>0.02</v>
      </c>
      <c r="R82" s="22"/>
      <c r="S82" s="22">
        <v>5.5E-2</v>
      </c>
      <c r="T82" s="42">
        <f>1-(F82+I82+Q82+S82)</f>
        <v>0.48099999999999998</v>
      </c>
      <c r="U82" s="42"/>
      <c r="V82" s="42"/>
      <c r="W82" s="22"/>
      <c r="X82" s="22"/>
      <c r="Y82" s="22">
        <v>1.34E-3</v>
      </c>
      <c r="Z82" s="22">
        <v>1.49E-2</v>
      </c>
      <c r="AA82" s="22">
        <v>2.7000000000000001E-3</v>
      </c>
      <c r="AB82" s="22">
        <v>1.7899999999999999E-2</v>
      </c>
      <c r="AC82" s="22">
        <v>4.4999999999999997E-3</v>
      </c>
      <c r="AD82" s="22">
        <v>8.0000000000000004E-4</v>
      </c>
      <c r="AE82" s="22">
        <v>8.0000000000000004E-4</v>
      </c>
      <c r="AF82" s="46"/>
      <c r="AG82" s="39"/>
      <c r="AH82" s="39"/>
      <c r="AI82" s="46"/>
      <c r="AJ82" s="46"/>
      <c r="AK82" s="39"/>
      <c r="AL82" s="39"/>
      <c r="AM82" s="46"/>
      <c r="AN82" s="46"/>
      <c r="AO82" s="46"/>
      <c r="AP82" s="39"/>
      <c r="AQ82" s="39"/>
      <c r="AR82" s="39"/>
      <c r="AS82" s="28"/>
      <c r="AT82" s="29"/>
      <c r="AU82" s="29"/>
      <c r="AV82" s="29"/>
      <c r="AW82" s="29"/>
      <c r="AX82" s="29"/>
      <c r="AY82" s="61"/>
      <c r="AZ82" s="61"/>
      <c r="BA82" s="61"/>
      <c r="BB82" s="28"/>
      <c r="BC82" s="28"/>
    </row>
    <row r="83" spans="1:55" s="14" customFormat="1" x14ac:dyDescent="0.2">
      <c r="A83" s="24" t="s">
        <v>28</v>
      </c>
      <c r="B83" s="9"/>
      <c r="C83" s="23" t="s">
        <v>221</v>
      </c>
      <c r="D83" s="5" t="s">
        <v>177</v>
      </c>
      <c r="E83" s="42">
        <v>0.99</v>
      </c>
      <c r="F83" s="42">
        <v>2.81</v>
      </c>
      <c r="G83" s="42">
        <v>2.81</v>
      </c>
      <c r="H83" s="42"/>
      <c r="I83" s="42"/>
      <c r="J83" s="42"/>
      <c r="K83" s="42"/>
      <c r="L83" s="42"/>
      <c r="M83" s="13">
        <f t="shared" si="30"/>
        <v>0</v>
      </c>
      <c r="N83" s="42"/>
      <c r="O83" s="50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30"/>
      <c r="AT83" s="29">
        <v>1</v>
      </c>
      <c r="AU83" s="29"/>
      <c r="AV83" s="29"/>
      <c r="AW83" s="29"/>
      <c r="AX83" s="29"/>
      <c r="AY83" s="61">
        <v>1</v>
      </c>
      <c r="AZ83" s="61"/>
      <c r="BA83" s="61"/>
      <c r="BB83" s="28"/>
      <c r="BC83" s="28"/>
    </row>
    <row r="84" spans="1:55" s="14" customFormat="1" x14ac:dyDescent="0.2">
      <c r="A84" s="19" t="s">
        <v>87</v>
      </c>
      <c r="B84" s="9"/>
      <c r="C84" s="23" t="s">
        <v>219</v>
      </c>
      <c r="D84" s="5" t="s">
        <v>177</v>
      </c>
      <c r="E84" s="22">
        <v>0.92400000000000004</v>
      </c>
      <c r="F84" s="22">
        <v>0.33300000000000002</v>
      </c>
      <c r="G84" s="22">
        <v>0.24979999999999999</v>
      </c>
      <c r="H84" s="22">
        <v>8.3299999999999999E-2</v>
      </c>
      <c r="I84" s="22">
        <v>0.1585</v>
      </c>
      <c r="J84" s="15">
        <f>(I84*K84)+(I84*(1-K84)*0.25)</f>
        <v>3.9625E-2</v>
      </c>
      <c r="K84" s="45"/>
      <c r="L84" s="45"/>
      <c r="M84" s="13">
        <f t="shared" si="30"/>
        <v>0</v>
      </c>
      <c r="N84" s="22">
        <v>0.11</v>
      </c>
      <c r="O84" s="16">
        <f t="shared" ref="O84:O87" si="31">(0.0245*P84*100)-0.12</f>
        <v>2.1095000000000002</v>
      </c>
      <c r="P84" s="22">
        <v>0.91</v>
      </c>
      <c r="Q84" s="22">
        <v>0.19390000000000002</v>
      </c>
      <c r="R84" s="22"/>
      <c r="S84" s="22">
        <v>5.7699999999999994E-2</v>
      </c>
      <c r="T84" s="42">
        <f>1-(F84+I84+Q84+S84)</f>
        <v>0.25690000000000002</v>
      </c>
      <c r="U84" s="42"/>
      <c r="V84" s="42"/>
      <c r="W84" s="22"/>
      <c r="X84" s="22"/>
      <c r="Y84" s="22">
        <v>2.7000000000000001E-3</v>
      </c>
      <c r="Z84" s="22">
        <v>6.5000000000000006E-3</v>
      </c>
      <c r="AA84" s="22">
        <v>2.8999999999999998E-3</v>
      </c>
      <c r="AB84" s="22">
        <v>1.8200000000000001E-2</v>
      </c>
      <c r="AC84" s="22">
        <v>2.3999999999999998E-3</v>
      </c>
      <c r="AD84" s="22">
        <v>2.0000000000000001E-4</v>
      </c>
      <c r="AE84" s="22">
        <v>0</v>
      </c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39"/>
      <c r="AQ84" s="39"/>
      <c r="AR84" s="39"/>
      <c r="AS84" s="30"/>
      <c r="AT84" s="29">
        <v>0.27800000000000002</v>
      </c>
      <c r="AU84" s="29">
        <v>0.70199999999999996</v>
      </c>
      <c r="AV84" s="29">
        <v>0.02</v>
      </c>
      <c r="AW84" s="29">
        <v>0.109</v>
      </c>
      <c r="AX84" s="29">
        <v>0.85</v>
      </c>
      <c r="AY84" s="61">
        <v>1</v>
      </c>
      <c r="AZ84" s="61">
        <v>0.51</v>
      </c>
      <c r="BA84" s="61">
        <v>1</v>
      </c>
      <c r="BB84" s="28"/>
      <c r="BC84" s="28"/>
    </row>
    <row r="85" spans="1:55" s="14" customFormat="1" x14ac:dyDescent="0.2">
      <c r="A85" s="19" t="s">
        <v>95</v>
      </c>
      <c r="B85" s="9"/>
      <c r="C85" s="23" t="s">
        <v>219</v>
      </c>
      <c r="D85" s="5" t="s">
        <v>177</v>
      </c>
      <c r="E85" s="22">
        <v>0.72</v>
      </c>
      <c r="F85" s="22">
        <v>0.2</v>
      </c>
      <c r="G85" s="22">
        <v>0.18</v>
      </c>
      <c r="H85" s="22">
        <v>0.02</v>
      </c>
      <c r="I85" s="22">
        <v>0.51200000000000001</v>
      </c>
      <c r="J85" s="15">
        <f>(I85*K85)+(I85*(1-K85)*0.33)</f>
        <v>0.16896</v>
      </c>
      <c r="K85" s="22"/>
      <c r="L85" s="22"/>
      <c r="M85" s="22">
        <f t="shared" si="30"/>
        <v>0</v>
      </c>
      <c r="N85" s="22">
        <v>0.34499999999999997</v>
      </c>
      <c r="O85" s="16">
        <f t="shared" si="31"/>
        <v>1.3108</v>
      </c>
      <c r="P85" s="22">
        <v>0.58399999999999996</v>
      </c>
      <c r="Q85" s="22">
        <v>2.5999999999999999E-2</v>
      </c>
      <c r="R85" s="22"/>
      <c r="S85" s="22">
        <v>0.14799999999999999</v>
      </c>
      <c r="T85" s="42">
        <f>1-(F85+I85+Q85+S85)</f>
        <v>0.11399999999999999</v>
      </c>
      <c r="U85" s="42"/>
      <c r="V85" s="42"/>
      <c r="W85" s="22"/>
      <c r="X85" s="22"/>
      <c r="Y85" s="22">
        <v>0.02</v>
      </c>
      <c r="Z85" s="22">
        <v>0.01</v>
      </c>
      <c r="AA85" s="22">
        <v>0</v>
      </c>
      <c r="AB85" s="22">
        <v>0</v>
      </c>
      <c r="AC85" s="22">
        <v>0</v>
      </c>
      <c r="AD85" s="22">
        <v>0</v>
      </c>
      <c r="AE85" s="22">
        <v>0</v>
      </c>
      <c r="AF85" s="46"/>
      <c r="AG85" s="39"/>
      <c r="AH85" s="39"/>
      <c r="AI85" s="46"/>
      <c r="AJ85" s="46"/>
      <c r="AK85" s="39"/>
      <c r="AL85" s="39"/>
      <c r="AM85" s="46"/>
      <c r="AN85" s="46"/>
      <c r="AO85" s="46"/>
      <c r="AP85" s="39"/>
      <c r="AQ85" s="39"/>
      <c r="AR85" s="39"/>
      <c r="AS85" s="28"/>
      <c r="AT85" s="29"/>
      <c r="AU85" s="29"/>
      <c r="AV85" s="29"/>
      <c r="AW85" s="29"/>
      <c r="AX85" s="29"/>
      <c r="AY85" s="61"/>
      <c r="AZ85" s="61"/>
      <c r="BA85" s="61"/>
      <c r="BB85" s="28"/>
      <c r="BC85" s="28"/>
    </row>
    <row r="86" spans="1:55" s="14" customFormat="1" x14ac:dyDescent="0.2">
      <c r="A86" s="21" t="s">
        <v>94</v>
      </c>
      <c r="B86" s="9"/>
      <c r="C86" s="23" t="s">
        <v>219</v>
      </c>
      <c r="D86" s="5" t="s">
        <v>177</v>
      </c>
      <c r="E86" s="22">
        <v>0.76655172413793093</v>
      </c>
      <c r="F86" s="22">
        <v>0.78117408906882602</v>
      </c>
      <c r="G86" s="22">
        <v>0.76562753036437248</v>
      </c>
      <c r="H86" s="22">
        <v>1.554655870445344E-2</v>
      </c>
      <c r="I86" s="22">
        <v>0.39799190283400809</v>
      </c>
      <c r="J86" s="15">
        <f>(I86*K86)+(I86*(1-K86)*0.33)</f>
        <v>0.13133732793522268</v>
      </c>
      <c r="K86" s="22"/>
      <c r="L86" s="22"/>
      <c r="M86" s="22">
        <f t="shared" si="30"/>
        <v>0</v>
      </c>
      <c r="N86" s="22">
        <v>0.26817813765182186</v>
      </c>
      <c r="O86" s="16">
        <f t="shared" si="31"/>
        <v>0.99220080971659919</v>
      </c>
      <c r="P86" s="22">
        <v>0.45395951417004043</v>
      </c>
      <c r="Q86" s="22">
        <v>2.021052631578947E-2</v>
      </c>
      <c r="R86" s="22"/>
      <c r="S86" s="22">
        <v>0.11504453441295547</v>
      </c>
      <c r="T86" s="42">
        <f>1-(F86+I86+Q86+S86)</f>
        <v>-0.31442105263157893</v>
      </c>
      <c r="U86" s="42"/>
      <c r="V86" s="42"/>
      <c r="W86" s="22"/>
      <c r="X86" s="22"/>
      <c r="Y86" s="22">
        <v>1.554655870445344E-2</v>
      </c>
      <c r="Z86" s="22">
        <v>7.7732793522267201E-3</v>
      </c>
      <c r="AA86" s="22">
        <v>0</v>
      </c>
      <c r="AB86" s="22">
        <v>0</v>
      </c>
      <c r="AC86" s="22">
        <v>0</v>
      </c>
      <c r="AD86" s="22">
        <v>0</v>
      </c>
      <c r="AE86" s="22">
        <v>0</v>
      </c>
      <c r="AF86" s="54"/>
      <c r="AG86" s="54"/>
      <c r="AH86" s="54"/>
      <c r="AI86" s="39"/>
      <c r="AJ86" s="54"/>
      <c r="AK86" s="54"/>
      <c r="AL86" s="54"/>
      <c r="AM86" s="39"/>
      <c r="AN86" s="39"/>
      <c r="AO86" s="39"/>
      <c r="AP86" s="39"/>
      <c r="AQ86" s="39"/>
      <c r="AR86" s="39"/>
      <c r="AS86" s="28"/>
      <c r="AT86" s="29"/>
      <c r="AU86" s="29"/>
      <c r="AV86" s="29"/>
      <c r="AW86" s="29"/>
      <c r="AX86" s="29"/>
      <c r="AY86" s="61"/>
      <c r="AZ86" s="61"/>
      <c r="BA86" s="61"/>
      <c r="BB86" s="28"/>
      <c r="BC86" s="28"/>
    </row>
    <row r="87" spans="1:55" s="14" customFormat="1" x14ac:dyDescent="0.2">
      <c r="A87" s="19" t="s">
        <v>92</v>
      </c>
      <c r="B87" s="9"/>
      <c r="C87" s="23" t="s">
        <v>219</v>
      </c>
      <c r="D87" s="5" t="s">
        <v>177</v>
      </c>
      <c r="E87" s="22">
        <v>0.92</v>
      </c>
      <c r="F87" s="15">
        <v>6.0999999999999999E-2</v>
      </c>
      <c r="G87" s="13">
        <f t="shared" ref="G87:G96" si="32">F87-H87</f>
        <v>6.0999999999999999E-2</v>
      </c>
      <c r="H87" s="13">
        <f>F87*0</f>
        <v>0</v>
      </c>
      <c r="I87" s="15">
        <v>0.84699999999999998</v>
      </c>
      <c r="J87" s="15">
        <f>(I87*K87)+(I87*(1-K87)*0.5)</f>
        <v>0.42349999999999999</v>
      </c>
      <c r="K87" s="13"/>
      <c r="L87" s="13"/>
      <c r="M87" s="13">
        <f t="shared" si="30"/>
        <v>0</v>
      </c>
      <c r="N87" s="15">
        <v>0.65</v>
      </c>
      <c r="O87" s="16">
        <f t="shared" si="31"/>
        <v>0.98250000000000004</v>
      </c>
      <c r="P87" s="13">
        <v>0.45</v>
      </c>
      <c r="Q87" s="15">
        <v>3.5000000000000003E-2</v>
      </c>
      <c r="R87" s="15">
        <f>Q87*0.9*(19.3+51.6+0.5)/100</f>
        <v>2.2491000000000008E-2</v>
      </c>
      <c r="S87" s="15">
        <v>2.8000000000000001E-2</v>
      </c>
      <c r="T87" s="15">
        <f t="shared" ref="T87:T96" si="33">1-(I87+Q87+S87+F87)</f>
        <v>2.8999999999999915E-2</v>
      </c>
      <c r="U87" s="15">
        <v>1.2E-2</v>
      </c>
      <c r="V87" s="15">
        <v>0.2</v>
      </c>
      <c r="W87" s="45"/>
      <c r="X87" s="45"/>
      <c r="Y87" s="15">
        <v>1.8E-3</v>
      </c>
      <c r="Z87" s="15">
        <v>1.1999999999999999E-3</v>
      </c>
      <c r="AA87" s="15">
        <v>1.6999999999999999E-3</v>
      </c>
      <c r="AB87" s="15">
        <v>1.1599999999999999E-2</v>
      </c>
      <c r="AC87" s="15">
        <v>6.9999999999999999E-4</v>
      </c>
      <c r="AD87" s="15">
        <v>2.0000000000000001E-4</v>
      </c>
      <c r="AE87" s="15">
        <v>5.9999999999999995E-4</v>
      </c>
      <c r="AF87" s="18"/>
      <c r="AG87" s="17">
        <v>5</v>
      </c>
      <c r="AH87" s="17">
        <v>22</v>
      </c>
      <c r="AI87" s="17">
        <v>17</v>
      </c>
      <c r="AJ87" s="17"/>
      <c r="AK87" s="17"/>
      <c r="AL87" s="17"/>
      <c r="AM87" s="17"/>
      <c r="AN87" s="17"/>
      <c r="AO87" s="39"/>
      <c r="AP87" s="39"/>
      <c r="AQ87" s="39"/>
      <c r="AR87" s="39"/>
      <c r="AS87" s="28"/>
      <c r="AT87" s="29"/>
      <c r="AU87" s="29"/>
      <c r="AV87" s="29"/>
      <c r="AW87" s="29"/>
      <c r="AX87" s="29"/>
      <c r="AY87" s="61"/>
      <c r="AZ87" s="61"/>
      <c r="BA87" s="61"/>
      <c r="BB87" s="28"/>
      <c r="BC87" s="28"/>
    </row>
    <row r="88" spans="1:55" s="14" customFormat="1" x14ac:dyDescent="0.2">
      <c r="A88" s="8" t="s">
        <v>88</v>
      </c>
      <c r="B88" s="9"/>
      <c r="C88" s="23" t="s">
        <v>219</v>
      </c>
      <c r="D88" s="5" t="s">
        <v>177</v>
      </c>
      <c r="E88" s="22">
        <v>0.91</v>
      </c>
      <c r="F88" s="15">
        <v>0.121</v>
      </c>
      <c r="G88" s="13">
        <f t="shared" si="32"/>
        <v>8.4699999999999998E-2</v>
      </c>
      <c r="H88" s="13">
        <f>F88*0.3</f>
        <v>3.6299999999999999E-2</v>
      </c>
      <c r="I88" s="15">
        <v>0.65900000000000003</v>
      </c>
      <c r="J88" s="15">
        <f>(I88*K88)+(I88*(1-K88)*0.25)</f>
        <v>0.16475000000000001</v>
      </c>
      <c r="K88" s="13"/>
      <c r="L88" s="13"/>
      <c r="M88" s="13">
        <f t="shared" si="30"/>
        <v>0</v>
      </c>
      <c r="N88" s="15">
        <v>0.47499999999999998</v>
      </c>
      <c r="O88" s="16">
        <f t="shared" ref="O88:O98" si="34">(0.0245*P88*100)-0.12</f>
        <v>1.7665000000000002</v>
      </c>
      <c r="P88" s="13">
        <v>0.77</v>
      </c>
      <c r="Q88" s="15">
        <v>0.03</v>
      </c>
      <c r="R88" s="15">
        <f>Q88*0.544*(0.7+15.9+42.7+13.1)/100</f>
        <v>1.1815680000000002E-2</v>
      </c>
      <c r="S88" s="15">
        <v>4.8000000000000001E-2</v>
      </c>
      <c r="T88" s="15">
        <f t="shared" si="33"/>
        <v>0.1419999999999999</v>
      </c>
      <c r="U88" s="15">
        <v>1.7000000000000001E-2</v>
      </c>
      <c r="V88" s="15">
        <v>0.3</v>
      </c>
      <c r="W88" s="42"/>
      <c r="X88" s="42"/>
      <c r="Y88" s="15">
        <v>6.3E-3</v>
      </c>
      <c r="Z88" s="15">
        <v>1.6999999999999999E-3</v>
      </c>
      <c r="AA88" s="15">
        <v>2.5000000000000001E-3</v>
      </c>
      <c r="AB88" s="15">
        <v>1.5100000000000001E-2</v>
      </c>
      <c r="AC88" s="15">
        <v>1.1999999999999999E-3</v>
      </c>
      <c r="AD88" s="15">
        <v>1E-4</v>
      </c>
      <c r="AE88" s="15">
        <v>5.0000000000000001E-4</v>
      </c>
      <c r="AF88" s="18">
        <v>0.12</v>
      </c>
      <c r="AG88" s="17">
        <v>10</v>
      </c>
      <c r="AH88" s="17">
        <v>26</v>
      </c>
      <c r="AI88" s="17">
        <v>35</v>
      </c>
      <c r="AJ88" s="17">
        <v>0.21</v>
      </c>
      <c r="AK88" s="44"/>
      <c r="AL88" s="44"/>
      <c r="AM88" s="44"/>
      <c r="AN88" s="44"/>
      <c r="AO88" s="44"/>
      <c r="AP88" s="44"/>
      <c r="AQ88" s="44"/>
      <c r="AR88" s="44"/>
      <c r="AS88" s="30"/>
      <c r="AT88" s="29">
        <v>0.22500000000000001</v>
      </c>
      <c r="AU88" s="29">
        <v>0.72199999999999998</v>
      </c>
      <c r="AV88" s="29">
        <v>5.2999999999999999E-2</v>
      </c>
      <c r="AW88" s="29">
        <v>6.2E-2</v>
      </c>
      <c r="AX88" s="29">
        <v>0.7</v>
      </c>
      <c r="AY88" s="61">
        <v>1</v>
      </c>
      <c r="AZ88" s="61">
        <v>0.59</v>
      </c>
      <c r="BA88" s="61">
        <v>1</v>
      </c>
      <c r="BB88" s="28"/>
      <c r="BC88" s="28"/>
    </row>
    <row r="89" spans="1:55" s="14" customFormat="1" x14ac:dyDescent="0.2">
      <c r="A89" s="8" t="s">
        <v>72</v>
      </c>
      <c r="B89" s="9"/>
      <c r="C89" s="23" t="s">
        <v>219</v>
      </c>
      <c r="D89" s="5" t="s">
        <v>177</v>
      </c>
      <c r="E89" s="13">
        <v>0.92700000000000005</v>
      </c>
      <c r="F89" s="13">
        <v>0.28999999999999998</v>
      </c>
      <c r="G89" s="13">
        <f t="shared" si="32"/>
        <v>0.14499999999999999</v>
      </c>
      <c r="H89" s="13">
        <f>F89*0.5</f>
        <v>0.14499999999999999</v>
      </c>
      <c r="I89" s="13">
        <v>0.47299999999999998</v>
      </c>
      <c r="J89" s="15">
        <f>(I89*K89)+(I89*(1-K89)*0.33)</f>
        <v>0.15609000000000001</v>
      </c>
      <c r="K89" s="13"/>
      <c r="L89" s="13"/>
      <c r="M89" s="13">
        <f t="shared" si="30"/>
        <v>0</v>
      </c>
      <c r="N89" s="13">
        <v>0.22900000000000001</v>
      </c>
      <c r="O89" s="16">
        <f t="shared" si="34"/>
        <v>1.6194999999999999</v>
      </c>
      <c r="P89" s="13">
        <v>0.71</v>
      </c>
      <c r="Q89" s="13">
        <v>0.08</v>
      </c>
      <c r="R89" s="15">
        <f>Q89*0.866*(14.6+48.9+4.6)/100</f>
        <v>4.7179679999999988E-2</v>
      </c>
      <c r="S89" s="13">
        <v>4.2999999999999997E-2</v>
      </c>
      <c r="T89" s="15">
        <f t="shared" si="33"/>
        <v>0.1140000000000001</v>
      </c>
      <c r="U89" s="13">
        <v>9.0999999999999998E-2</v>
      </c>
      <c r="V89" s="13">
        <v>0.32</v>
      </c>
      <c r="W89" s="42"/>
      <c r="X89" s="42"/>
      <c r="Y89" s="13">
        <v>3.0000000000000001E-3</v>
      </c>
      <c r="Z89" s="13">
        <v>6.7000000000000002E-3</v>
      </c>
      <c r="AA89" s="13">
        <v>2.5999999999999999E-3</v>
      </c>
      <c r="AB89" s="13">
        <v>5.0000000000000001E-3</v>
      </c>
      <c r="AC89" s="13">
        <v>3.8E-3</v>
      </c>
      <c r="AD89" s="13">
        <v>4.0000000000000002E-4</v>
      </c>
      <c r="AE89" s="13">
        <v>6.9999999999999999E-4</v>
      </c>
      <c r="AF89" s="18"/>
      <c r="AG89" s="18">
        <v>11</v>
      </c>
      <c r="AH89" s="18">
        <v>45</v>
      </c>
      <c r="AI89" s="18">
        <v>85</v>
      </c>
      <c r="AJ89" s="18">
        <v>1.06</v>
      </c>
      <c r="AK89" s="18"/>
      <c r="AL89" s="18"/>
      <c r="AM89" s="18"/>
      <c r="AN89" s="44"/>
      <c r="AO89" s="44"/>
      <c r="AP89" s="44"/>
      <c r="AQ89" s="44"/>
      <c r="AR89" s="44"/>
      <c r="AS89" s="28"/>
      <c r="AT89" s="29">
        <v>0.56000000000000005</v>
      </c>
      <c r="AU89" s="29">
        <v>0.44</v>
      </c>
      <c r="AV89" s="29">
        <v>0</v>
      </c>
      <c r="AW89" s="29">
        <v>4.4999999999999998E-2</v>
      </c>
      <c r="AX89" s="29">
        <v>0.8</v>
      </c>
      <c r="AY89" s="61">
        <v>1</v>
      </c>
      <c r="AZ89" s="61">
        <v>0.52</v>
      </c>
      <c r="BA89" s="61">
        <v>1</v>
      </c>
      <c r="BB89" s="28"/>
      <c r="BC89" s="28"/>
    </row>
    <row r="90" spans="1:55" s="14" customFormat="1" x14ac:dyDescent="0.2">
      <c r="A90" s="8" t="s">
        <v>76</v>
      </c>
      <c r="B90" s="9"/>
      <c r="C90" s="23" t="s">
        <v>219</v>
      </c>
      <c r="D90" s="5" t="s">
        <v>177</v>
      </c>
      <c r="E90" s="13">
        <v>0.23</v>
      </c>
      <c r="F90" s="13">
        <v>0.28999999999999998</v>
      </c>
      <c r="G90" s="13">
        <f t="shared" si="32"/>
        <v>0.15949999999999998</v>
      </c>
      <c r="H90" s="13">
        <f>F90*0.45</f>
        <v>0.1305</v>
      </c>
      <c r="I90" s="13">
        <v>0.47099999999999997</v>
      </c>
      <c r="J90" s="15">
        <f>(I90*K90)+(I90*(1-K90)*0.33)</f>
        <v>0.15543000000000001</v>
      </c>
      <c r="K90" s="13"/>
      <c r="L90" s="13"/>
      <c r="M90" s="13">
        <f t="shared" si="30"/>
        <v>0</v>
      </c>
      <c r="N90" s="13">
        <v>0.23</v>
      </c>
      <c r="O90" s="16">
        <f t="shared" si="34"/>
        <v>1.7910000000000004</v>
      </c>
      <c r="P90" s="13">
        <v>0.78</v>
      </c>
      <c r="Q90" s="13">
        <v>9.5000000000000001E-2</v>
      </c>
      <c r="R90" s="15">
        <f>Q90*0.799*(11.2+53.8+5.4)/100</f>
        <v>5.3437119999999998E-2</v>
      </c>
      <c r="S90" s="13">
        <v>4.9000000000000002E-2</v>
      </c>
      <c r="T90" s="15">
        <f t="shared" si="33"/>
        <v>9.4999999999999973E-2</v>
      </c>
      <c r="U90" s="13">
        <v>4.3999999999999997E-2</v>
      </c>
      <c r="V90" s="13">
        <v>0.38</v>
      </c>
      <c r="W90" s="42"/>
      <c r="X90" s="42"/>
      <c r="Y90" s="13">
        <v>3.5000000000000001E-3</v>
      </c>
      <c r="Z90" s="13">
        <v>5.8999999999999999E-3</v>
      </c>
      <c r="AA90" s="13">
        <v>2.0999999999999999E-3</v>
      </c>
      <c r="AB90" s="13">
        <v>4.7000000000000002E-3</v>
      </c>
      <c r="AC90" s="13">
        <v>3.3E-3</v>
      </c>
      <c r="AD90" s="13">
        <v>1E-4</v>
      </c>
      <c r="AE90" s="13">
        <v>1.1999999999999999E-3</v>
      </c>
      <c r="AF90" s="18"/>
      <c r="AG90" s="18">
        <v>9</v>
      </c>
      <c r="AH90" s="18">
        <v>49</v>
      </c>
      <c r="AI90" s="18">
        <v>91</v>
      </c>
      <c r="AJ90" s="18">
        <v>1.06</v>
      </c>
      <c r="AK90" s="18"/>
      <c r="AL90" s="18"/>
      <c r="AM90" s="18"/>
      <c r="AN90" s="44"/>
      <c r="AO90" s="44"/>
      <c r="AP90" s="44"/>
      <c r="AQ90" s="44"/>
      <c r="AR90" s="44"/>
      <c r="AS90" s="28"/>
      <c r="AT90" s="29">
        <v>0.56000000000000005</v>
      </c>
      <c r="AU90" s="29">
        <v>0.44</v>
      </c>
      <c r="AV90" s="29">
        <v>0</v>
      </c>
      <c r="AW90" s="29">
        <v>4.4999999999999998E-2</v>
      </c>
      <c r="AX90" s="29">
        <v>0.8</v>
      </c>
      <c r="AY90" s="61">
        <v>1</v>
      </c>
      <c r="AZ90" s="61">
        <v>0.52</v>
      </c>
      <c r="BA90" s="61">
        <v>1</v>
      </c>
      <c r="BB90" s="28"/>
      <c r="BC90" s="28"/>
    </row>
    <row r="91" spans="1:55" s="14" customFormat="1" x14ac:dyDescent="0.2">
      <c r="A91" s="8" t="s">
        <v>78</v>
      </c>
      <c r="B91" s="9"/>
      <c r="C91" s="23" t="s">
        <v>219</v>
      </c>
      <c r="D91" s="5" t="s">
        <v>177</v>
      </c>
      <c r="E91" s="13">
        <v>0.88800000000000001</v>
      </c>
      <c r="F91" s="13">
        <v>0.17</v>
      </c>
      <c r="G91" s="13">
        <f t="shared" si="32"/>
        <v>0.1275</v>
      </c>
      <c r="H91" s="13">
        <f>F91*0.25</f>
        <v>4.2500000000000003E-2</v>
      </c>
      <c r="I91" s="13">
        <v>0.44</v>
      </c>
      <c r="J91" s="15">
        <f>(I91*K91)+(I91*(1-K91)*0.33)</f>
        <v>0.1452</v>
      </c>
      <c r="K91" s="13"/>
      <c r="L91" s="13"/>
      <c r="M91" s="13">
        <f t="shared" si="30"/>
        <v>0</v>
      </c>
      <c r="N91" s="13">
        <v>0.15</v>
      </c>
      <c r="O91" s="16">
        <f t="shared" si="34"/>
        <v>1.5949999999999998</v>
      </c>
      <c r="P91" s="13">
        <v>0.7</v>
      </c>
      <c r="Q91" s="13">
        <v>4.4999999999999998E-2</v>
      </c>
      <c r="R91" s="22">
        <f>Q91*0.893*(17.8+59.1+4.7)/100</f>
        <v>3.2790960000000001E-2</v>
      </c>
      <c r="S91" s="13">
        <v>6.3E-2</v>
      </c>
      <c r="T91" s="15">
        <f t="shared" si="33"/>
        <v>0.28199999999999992</v>
      </c>
      <c r="U91" s="13">
        <v>0.218</v>
      </c>
      <c r="V91" s="13">
        <v>0.4</v>
      </c>
      <c r="W91" s="42"/>
      <c r="X91" s="42"/>
      <c r="Y91" s="13">
        <v>1.2999999999999999E-3</v>
      </c>
      <c r="Z91" s="13">
        <v>1.18E-2</v>
      </c>
      <c r="AA91" s="13">
        <v>5.3E-3</v>
      </c>
      <c r="AB91" s="13">
        <v>1.32E-2</v>
      </c>
      <c r="AC91" s="13">
        <v>2.0999999999999999E-3</v>
      </c>
      <c r="AD91" s="13">
        <v>4.0000000000000002E-4</v>
      </c>
      <c r="AE91" s="13">
        <v>1.6000000000000001E-3</v>
      </c>
      <c r="AF91" s="18"/>
      <c r="AG91" s="18">
        <v>11</v>
      </c>
      <c r="AH91" s="18">
        <v>122</v>
      </c>
      <c r="AI91" s="18">
        <v>85</v>
      </c>
      <c r="AJ91" s="18">
        <v>0.5</v>
      </c>
      <c r="AK91" s="18"/>
      <c r="AL91" s="18"/>
      <c r="AM91" s="18"/>
      <c r="AN91" s="18"/>
      <c r="AO91" s="18"/>
      <c r="AP91" s="17"/>
      <c r="AQ91" s="17"/>
      <c r="AR91" s="17"/>
      <c r="AS91" s="30"/>
      <c r="AT91" s="29">
        <v>0.33700000000000002</v>
      </c>
      <c r="AU91" s="29">
        <v>0.625</v>
      </c>
      <c r="AV91" s="29">
        <v>3.7999999999999999E-2</v>
      </c>
      <c r="AW91" s="29">
        <v>0.2</v>
      </c>
      <c r="AX91" s="29">
        <v>0.75</v>
      </c>
      <c r="AY91" s="61">
        <v>1</v>
      </c>
      <c r="AZ91" s="61">
        <v>0.53</v>
      </c>
      <c r="BA91" s="61">
        <v>1</v>
      </c>
      <c r="BB91" s="28"/>
      <c r="BC91" s="28"/>
    </row>
    <row r="92" spans="1:55" s="14" customFormat="1" x14ac:dyDescent="0.2">
      <c r="A92" s="19" t="s">
        <v>74</v>
      </c>
      <c r="B92" s="9"/>
      <c r="C92" s="23" t="s">
        <v>219</v>
      </c>
      <c r="D92" s="5" t="s">
        <v>177</v>
      </c>
      <c r="E92" s="13">
        <v>0.41099999999999998</v>
      </c>
      <c r="F92" s="13">
        <v>0.22500000000000001</v>
      </c>
      <c r="G92" s="13">
        <f t="shared" si="32"/>
        <v>0.16650000000000001</v>
      </c>
      <c r="H92" s="13">
        <f>F92*0.26</f>
        <v>5.8500000000000003E-2</v>
      </c>
      <c r="I92" s="13">
        <v>0.36699999999999999</v>
      </c>
      <c r="J92" s="15">
        <f>(I92*K92)+(I92*(1-K92)*0.33)</f>
        <v>0.12111000000000001</v>
      </c>
      <c r="K92" s="13"/>
      <c r="L92" s="13"/>
      <c r="M92" s="13">
        <f t="shared" si="30"/>
        <v>0</v>
      </c>
      <c r="N92" s="13">
        <v>0.11700000000000001</v>
      </c>
      <c r="O92" s="16">
        <f t="shared" si="34"/>
        <v>1.9135</v>
      </c>
      <c r="P92" s="13">
        <v>0.83</v>
      </c>
      <c r="Q92" s="13">
        <v>4.2999999999999997E-2</v>
      </c>
      <c r="R92" s="13">
        <f>Q92*0.498*(0.1+19.1+50+2.9)/100</f>
        <v>1.5439494E-2</v>
      </c>
      <c r="S92" s="13">
        <v>6.8000000000000005E-2</v>
      </c>
      <c r="T92" s="15">
        <f t="shared" si="33"/>
        <v>0.29700000000000004</v>
      </c>
      <c r="U92" s="13">
        <v>0.14699999999999999</v>
      </c>
      <c r="V92" s="13">
        <v>0.3</v>
      </c>
      <c r="W92" s="45"/>
      <c r="X92" s="45"/>
      <c r="Y92" s="15">
        <v>6.9999999999999999E-4</v>
      </c>
      <c r="Z92" s="15">
        <v>0.01</v>
      </c>
      <c r="AA92" s="15">
        <v>4.1999999999999997E-3</v>
      </c>
      <c r="AB92" s="15">
        <v>1.46E-2</v>
      </c>
      <c r="AC92" s="15">
        <v>4.4000000000000003E-3</v>
      </c>
      <c r="AD92" s="15">
        <v>1.2999999999999999E-3</v>
      </c>
      <c r="AE92" s="15">
        <v>2E-3</v>
      </c>
      <c r="AF92" s="17"/>
      <c r="AG92" s="17">
        <v>6</v>
      </c>
      <c r="AH92" s="17">
        <v>23</v>
      </c>
      <c r="AI92" s="17">
        <v>75</v>
      </c>
      <c r="AJ92" s="17">
        <v>0.19</v>
      </c>
      <c r="AK92" s="17"/>
      <c r="AL92" s="17"/>
      <c r="AM92" s="17"/>
      <c r="AN92" s="17"/>
      <c r="AO92" s="39"/>
      <c r="AP92" s="39"/>
      <c r="AQ92" s="39"/>
      <c r="AR92" s="39"/>
      <c r="AS92" s="30"/>
      <c r="AT92" s="29">
        <v>0.48</v>
      </c>
      <c r="AU92" s="29">
        <v>0.432</v>
      </c>
      <c r="AV92" s="29">
        <v>8.7999999999999995E-2</v>
      </c>
      <c r="AW92" s="29">
        <v>7.6999999999999999E-2</v>
      </c>
      <c r="AX92" s="29">
        <v>0.85</v>
      </c>
      <c r="AY92" s="61">
        <v>1</v>
      </c>
      <c r="AZ92" s="61">
        <v>0.54</v>
      </c>
      <c r="BA92" s="61">
        <v>1</v>
      </c>
      <c r="BB92" s="28"/>
      <c r="BC92" s="28"/>
    </row>
    <row r="93" spans="1:55" s="14" customFormat="1" x14ac:dyDescent="0.2">
      <c r="A93" s="8" t="s">
        <v>77</v>
      </c>
      <c r="B93" s="9"/>
      <c r="C93" s="23" t="s">
        <v>219</v>
      </c>
      <c r="D93" s="5" t="s">
        <v>177</v>
      </c>
      <c r="E93" s="15">
        <v>0.88600000000000001</v>
      </c>
      <c r="F93" s="15">
        <v>7.2999999999999995E-2</v>
      </c>
      <c r="G93" s="15">
        <f t="shared" si="32"/>
        <v>5.1099999999999993E-2</v>
      </c>
      <c r="H93" s="15">
        <f>F93*0.3</f>
        <v>2.1899999999999999E-2</v>
      </c>
      <c r="I93" s="15">
        <v>0.23899999999999999</v>
      </c>
      <c r="J93" s="15">
        <f>(I93*K93)+(I93*(1-K93)*0.25)</f>
        <v>5.9749999999999998E-2</v>
      </c>
      <c r="K93" s="13"/>
      <c r="L93" s="13"/>
      <c r="M93" s="15">
        <f t="shared" si="30"/>
        <v>0</v>
      </c>
      <c r="N93" s="15">
        <v>0.17499999999999999</v>
      </c>
      <c r="O93" s="16">
        <f t="shared" si="34"/>
        <v>1.7910000000000004</v>
      </c>
      <c r="P93" s="15">
        <v>0.78</v>
      </c>
      <c r="Q93" s="15">
        <v>2.9000000000000001E-2</v>
      </c>
      <c r="R93" s="15">
        <f>Q93*0.6*(0.1+23.3+34.9+6.4)/100</f>
        <v>1.12578E-2</v>
      </c>
      <c r="S93" s="15">
        <v>7.1999999999999995E-2</v>
      </c>
      <c r="T93" s="15">
        <f t="shared" si="33"/>
        <v>0.58699999999999997</v>
      </c>
      <c r="U93" s="15">
        <v>4.2999999999999997E-2</v>
      </c>
      <c r="V93" s="15">
        <v>0.3</v>
      </c>
      <c r="W93" s="42"/>
      <c r="X93" s="42"/>
      <c r="Y93" s="15">
        <v>1.9199999999999998E-2</v>
      </c>
      <c r="Z93" s="15">
        <v>1.1999999999999999E-3</v>
      </c>
      <c r="AA93" s="15">
        <v>1.1999999999999999E-3</v>
      </c>
      <c r="AB93" s="15">
        <v>1.0999999999999999E-2</v>
      </c>
      <c r="AC93" s="15">
        <v>1E-3</v>
      </c>
      <c r="AD93" s="15">
        <v>5.9999999999999995E-4</v>
      </c>
      <c r="AE93" s="15">
        <v>8.0000000000000004E-4</v>
      </c>
      <c r="AF93" s="17"/>
      <c r="AG93" s="18">
        <v>8</v>
      </c>
      <c r="AH93" s="18">
        <v>9</v>
      </c>
      <c r="AI93" s="18">
        <v>11</v>
      </c>
      <c r="AJ93" s="17"/>
      <c r="AK93" s="17"/>
      <c r="AL93" s="17"/>
      <c r="AM93" s="17"/>
      <c r="AN93" s="17"/>
      <c r="AO93" s="17"/>
      <c r="AP93" s="44"/>
      <c r="AQ93" s="44"/>
      <c r="AR93" s="44"/>
      <c r="AS93" s="28"/>
      <c r="AT93" s="29">
        <v>0.41699999999999998</v>
      </c>
      <c r="AU93" s="29">
        <v>0.53300000000000003</v>
      </c>
      <c r="AV93" s="29">
        <v>0.05</v>
      </c>
      <c r="AW93" s="29">
        <v>7.3999999999999996E-2</v>
      </c>
      <c r="AX93" s="29">
        <v>0.8</v>
      </c>
      <c r="AY93" s="61">
        <v>1</v>
      </c>
      <c r="AZ93" s="61">
        <v>0.63</v>
      </c>
      <c r="BA93" s="61">
        <v>1</v>
      </c>
      <c r="BB93" s="28"/>
      <c r="BC93" s="28"/>
    </row>
    <row r="94" spans="1:55" s="10" customFormat="1" x14ac:dyDescent="0.2">
      <c r="A94" s="19" t="s">
        <v>80</v>
      </c>
      <c r="B94" s="9"/>
      <c r="C94" s="23" t="s">
        <v>219</v>
      </c>
      <c r="D94" s="5" t="s">
        <v>177</v>
      </c>
      <c r="E94" s="22">
        <v>0.91900000000000004</v>
      </c>
      <c r="F94" s="15">
        <v>8.7999999999999995E-2</v>
      </c>
      <c r="G94" s="15">
        <f t="shared" si="32"/>
        <v>6.1600000000000002E-2</v>
      </c>
      <c r="H94" s="15">
        <f>F94*0.3</f>
        <v>2.6399999999999996E-2</v>
      </c>
      <c r="I94" s="15">
        <v>0.433</v>
      </c>
      <c r="J94" s="15">
        <f>(I94*K94)+(I94*(1-K94)*0.25)</f>
        <v>0.10825</v>
      </c>
      <c r="K94" s="13"/>
      <c r="L94" s="13"/>
      <c r="M94" s="15">
        <f t="shared" si="30"/>
        <v>0</v>
      </c>
      <c r="N94" s="15">
        <v>0.26500000000000001</v>
      </c>
      <c r="O94" s="16">
        <f t="shared" si="34"/>
        <v>1.7910000000000004</v>
      </c>
      <c r="P94" s="15">
        <v>0.78</v>
      </c>
      <c r="Q94" s="15">
        <v>1.6E-2</v>
      </c>
      <c r="R94" s="22">
        <f>Q94*0.797*(0.1+11.6+49.8+6.3)/100</f>
        <v>8.6458560000000004E-3</v>
      </c>
      <c r="S94" s="15">
        <v>7.2999999999999995E-2</v>
      </c>
      <c r="T94" s="15">
        <f t="shared" si="33"/>
        <v>0.39</v>
      </c>
      <c r="U94" s="15">
        <v>3.5999999999999997E-2</v>
      </c>
      <c r="V94" s="15">
        <v>0.2</v>
      </c>
      <c r="W94" s="45"/>
      <c r="X94" s="45"/>
      <c r="Y94" s="15">
        <v>9.1000000000000004E-3</v>
      </c>
      <c r="Z94" s="15">
        <v>8.9999999999999998E-4</v>
      </c>
      <c r="AA94" s="15">
        <v>2.3E-3</v>
      </c>
      <c r="AB94" s="15">
        <v>9.5999999999999992E-3</v>
      </c>
      <c r="AC94" s="15">
        <v>3.0000000000000001E-3</v>
      </c>
      <c r="AD94" s="15">
        <v>3.0999999999999999E-3</v>
      </c>
      <c r="AE94" s="15">
        <v>1.8E-3</v>
      </c>
      <c r="AF94" s="17"/>
      <c r="AG94" s="17">
        <v>11</v>
      </c>
      <c r="AH94" s="17">
        <v>62</v>
      </c>
      <c r="AI94" s="17">
        <v>22</v>
      </c>
      <c r="AJ94" s="17">
        <v>0.14000000000000001</v>
      </c>
      <c r="AK94" s="17"/>
      <c r="AL94" s="39"/>
      <c r="AM94" s="39"/>
      <c r="AN94" s="39"/>
      <c r="AO94" s="39"/>
      <c r="AP94" s="39"/>
      <c r="AQ94" s="39"/>
      <c r="AR94" s="39"/>
      <c r="AS94" s="28"/>
      <c r="AT94" s="29"/>
      <c r="AU94" s="29"/>
      <c r="AV94" s="29"/>
      <c r="AW94" s="29"/>
      <c r="AX94" s="29"/>
      <c r="AY94" s="61"/>
      <c r="AZ94" s="61"/>
      <c r="BA94" s="61"/>
      <c r="BB94" s="30"/>
      <c r="BC94" s="30"/>
    </row>
    <row r="95" spans="1:55" s="14" customFormat="1" x14ac:dyDescent="0.2">
      <c r="A95" s="8" t="s">
        <v>33</v>
      </c>
      <c r="B95" s="9"/>
      <c r="C95" s="23" t="s">
        <v>219</v>
      </c>
      <c r="D95" s="5" t="s">
        <v>177</v>
      </c>
      <c r="E95" s="22">
        <v>0.89700000000000002</v>
      </c>
      <c r="F95" s="15">
        <v>0.253</v>
      </c>
      <c r="G95" s="13">
        <f t="shared" si="32"/>
        <v>0.19734000000000002</v>
      </c>
      <c r="H95" s="13">
        <f>F95*0.22</f>
        <v>5.5660000000000001E-2</v>
      </c>
      <c r="I95" s="15">
        <v>0.34699999999999998</v>
      </c>
      <c r="J95" s="15">
        <f>(I95*K95)+(I95*(1-K95)*0.33)</f>
        <v>0.11451</v>
      </c>
      <c r="K95" s="13"/>
      <c r="L95" s="13"/>
      <c r="M95" s="13">
        <f t="shared" si="30"/>
        <v>0</v>
      </c>
      <c r="N95" s="15">
        <v>0.108</v>
      </c>
      <c r="O95" s="16">
        <f t="shared" si="34"/>
        <v>1.9135</v>
      </c>
      <c r="P95" s="13">
        <v>0.83</v>
      </c>
      <c r="Q95" s="15">
        <v>4.2000000000000003E-2</v>
      </c>
      <c r="R95" s="22">
        <f>Q95*0.806*(17.2+50.5+3.2)/100</f>
        <v>2.4001068000000004E-2</v>
      </c>
      <c r="S95" s="15">
        <v>6.8000000000000005E-2</v>
      </c>
      <c r="T95" s="15">
        <f t="shared" si="33"/>
        <v>0.29000000000000004</v>
      </c>
      <c r="U95" s="15">
        <v>0.14199999999999999</v>
      </c>
      <c r="V95" s="15">
        <v>0.26</v>
      </c>
      <c r="W95" s="42"/>
      <c r="X95" s="42"/>
      <c r="Y95" s="15">
        <v>6.9999999999999999E-4</v>
      </c>
      <c r="Z95" s="15">
        <v>0.01</v>
      </c>
      <c r="AA95" s="15">
        <v>4.1999999999999997E-3</v>
      </c>
      <c r="AB95" s="15">
        <v>1.46E-2</v>
      </c>
      <c r="AC95" s="15">
        <v>4.4000000000000003E-3</v>
      </c>
      <c r="AD95" s="15">
        <v>1.2999999999999999E-3</v>
      </c>
      <c r="AE95" s="15">
        <v>2E-3</v>
      </c>
      <c r="AF95" s="17"/>
      <c r="AG95" s="17">
        <v>6</v>
      </c>
      <c r="AH95" s="17">
        <v>23</v>
      </c>
      <c r="AI95" s="17">
        <v>75</v>
      </c>
      <c r="AJ95" s="17">
        <v>0.19</v>
      </c>
      <c r="AK95" s="17"/>
      <c r="AL95" s="17"/>
      <c r="AM95" s="17"/>
      <c r="AN95" s="17"/>
      <c r="AO95" s="44"/>
      <c r="AP95" s="44"/>
      <c r="AQ95" s="44"/>
      <c r="AR95" s="44"/>
      <c r="AS95" s="28"/>
      <c r="AT95" s="29">
        <v>0.48</v>
      </c>
      <c r="AU95" s="29">
        <v>0.432</v>
      </c>
      <c r="AV95" s="29">
        <v>8.7999999999999995E-2</v>
      </c>
      <c r="AW95" s="29">
        <v>7.6999999999999999E-2</v>
      </c>
      <c r="AX95" s="29">
        <v>0.85</v>
      </c>
      <c r="AY95" s="61">
        <v>1</v>
      </c>
      <c r="AZ95" s="61">
        <v>0.54</v>
      </c>
      <c r="BA95" s="61">
        <v>1</v>
      </c>
      <c r="BB95" s="28"/>
      <c r="BC95" s="28"/>
    </row>
    <row r="96" spans="1:55" s="14" customFormat="1" x14ac:dyDescent="0.2">
      <c r="A96" s="11" t="s">
        <v>159</v>
      </c>
      <c r="B96" s="9"/>
      <c r="C96" s="23" t="s">
        <v>219</v>
      </c>
      <c r="D96" s="12" t="s">
        <v>177</v>
      </c>
      <c r="E96" s="13">
        <v>0.88800000000000001</v>
      </c>
      <c r="F96" s="13">
        <v>0.30299999999999999</v>
      </c>
      <c r="G96" s="13">
        <f t="shared" si="32"/>
        <v>0.13634999999999997</v>
      </c>
      <c r="H96" s="13">
        <f>F96*0.55</f>
        <v>0.16665000000000002</v>
      </c>
      <c r="I96" s="13">
        <v>0.33600000000000002</v>
      </c>
      <c r="J96" s="15">
        <f>(I96*K96)+(I96*(1-K96)*0.33)</f>
        <v>0.11088000000000001</v>
      </c>
      <c r="K96" s="13"/>
      <c r="L96" s="13"/>
      <c r="M96" s="13">
        <f t="shared" si="30"/>
        <v>0</v>
      </c>
      <c r="N96" s="13">
        <v>0.16</v>
      </c>
      <c r="O96" s="16">
        <f t="shared" si="34"/>
        <v>1.9870000000000001</v>
      </c>
      <c r="P96" s="13">
        <v>0.86</v>
      </c>
      <c r="Q96" s="13">
        <v>0.14499999999999999</v>
      </c>
      <c r="R96" s="15">
        <f>Q96*0.794*(24.6+56.1+1.7)/100</f>
        <v>9.4867120000000013E-2</v>
      </c>
      <c r="S96" s="13">
        <v>5.1999999999999998E-2</v>
      </c>
      <c r="T96" s="15">
        <f t="shared" si="33"/>
        <v>0.16399999999999992</v>
      </c>
      <c r="U96" s="13">
        <v>5.5E-2</v>
      </c>
      <c r="V96" s="13">
        <v>0.17</v>
      </c>
      <c r="W96" s="48"/>
      <c r="X96" s="48"/>
      <c r="Y96" s="13">
        <v>2.2000000000000001E-3</v>
      </c>
      <c r="Z96" s="13">
        <v>8.3000000000000001E-3</v>
      </c>
      <c r="AA96" s="13">
        <v>3.3E-3</v>
      </c>
      <c r="AB96" s="13">
        <v>1.0999999999999999E-2</v>
      </c>
      <c r="AC96" s="13">
        <v>4.4000000000000003E-3</v>
      </c>
      <c r="AD96" s="13">
        <v>3.0000000000000001E-3</v>
      </c>
      <c r="AE96" s="15">
        <v>2.5999999999999999E-3</v>
      </c>
      <c r="AF96" s="17"/>
      <c r="AG96" s="18">
        <v>8</v>
      </c>
      <c r="AH96" s="18">
        <v>27</v>
      </c>
      <c r="AI96" s="18">
        <v>65</v>
      </c>
      <c r="AJ96" s="18">
        <v>0.39</v>
      </c>
      <c r="AK96" s="39"/>
      <c r="AL96" s="39"/>
      <c r="AM96" s="39"/>
      <c r="AN96" s="39"/>
      <c r="AO96" s="39"/>
      <c r="AP96" s="39"/>
      <c r="AQ96" s="39"/>
      <c r="AR96" s="39"/>
      <c r="AS96" s="28"/>
      <c r="AT96" s="29">
        <v>0.28499999999999998</v>
      </c>
      <c r="AU96" s="29">
        <v>0.63300000000000001</v>
      </c>
      <c r="AV96" s="29">
        <v>8.2000000000000003E-2</v>
      </c>
      <c r="AW96" s="29">
        <v>3.5999999999999997E-2</v>
      </c>
      <c r="AX96" s="29">
        <v>0.8</v>
      </c>
      <c r="AY96" s="61">
        <v>1</v>
      </c>
      <c r="AZ96" s="61">
        <v>0.36</v>
      </c>
      <c r="BA96" s="61">
        <v>1</v>
      </c>
      <c r="BB96" s="28"/>
      <c r="BC96" s="28"/>
    </row>
    <row r="97" spans="1:55" s="10" customFormat="1" x14ac:dyDescent="0.2">
      <c r="A97" s="11" t="s">
        <v>160</v>
      </c>
      <c r="B97" s="9"/>
      <c r="C97" s="23" t="s">
        <v>219</v>
      </c>
      <c r="D97" s="12" t="s">
        <v>177</v>
      </c>
      <c r="E97" s="13">
        <v>0.32300000000000001</v>
      </c>
      <c r="F97" s="13">
        <v>0.32</v>
      </c>
      <c r="G97" s="13">
        <f t="shared" ref="G97:G98" si="35">F97-H97</f>
        <v>0.16</v>
      </c>
      <c r="H97" s="13">
        <f>F97*0.5</f>
        <v>0.16</v>
      </c>
      <c r="I97" s="13">
        <v>0.32</v>
      </c>
      <c r="J97" s="15">
        <f>(I97*K97)+(I97*(1-K97)*0.33)</f>
        <v>0.10560000000000001</v>
      </c>
      <c r="K97" s="13"/>
      <c r="L97" s="13"/>
      <c r="M97" s="13">
        <f t="shared" ref="M97:M98" si="36">IF(D97="C", 0,I97)</f>
        <v>0</v>
      </c>
      <c r="N97" s="13">
        <v>0.16300000000000001</v>
      </c>
      <c r="O97" s="16">
        <f t="shared" si="34"/>
        <v>1.9870000000000001</v>
      </c>
      <c r="P97" s="22">
        <v>0.86</v>
      </c>
      <c r="Q97" s="13">
        <v>0.12</v>
      </c>
      <c r="R97" s="15">
        <f>Q97*0.8*(18+55+8)/100</f>
        <v>7.7759999999999996E-2</v>
      </c>
      <c r="S97" s="13">
        <v>5.2999999999999999E-2</v>
      </c>
      <c r="T97" s="15">
        <f t="shared" ref="T97:T98" si="37">1-(I97+Q97+S97+F97)</f>
        <v>0.18700000000000006</v>
      </c>
      <c r="U97" s="13">
        <v>3.6999999999999998E-2</v>
      </c>
      <c r="V97" s="13">
        <v>0.17</v>
      </c>
      <c r="W97" s="48"/>
      <c r="X97" s="48"/>
      <c r="Y97" s="13">
        <v>2.2000000000000001E-3</v>
      </c>
      <c r="Z97" s="13">
        <v>8.3000000000000001E-3</v>
      </c>
      <c r="AA97" s="13">
        <v>3.3E-3</v>
      </c>
      <c r="AB97" s="13">
        <v>1.0999999999999999E-2</v>
      </c>
      <c r="AC97" s="13">
        <v>4.4000000000000003E-3</v>
      </c>
      <c r="AD97" s="13">
        <v>3.0000000000000001E-3</v>
      </c>
      <c r="AE97" s="15">
        <v>2.5999999999999999E-3</v>
      </c>
      <c r="AF97" s="17"/>
      <c r="AG97" s="18">
        <v>8</v>
      </c>
      <c r="AH97" s="18">
        <v>27</v>
      </c>
      <c r="AI97" s="18">
        <v>65</v>
      </c>
      <c r="AJ97" s="18">
        <v>0.39</v>
      </c>
      <c r="AK97" s="39"/>
      <c r="AL97" s="39"/>
      <c r="AM97" s="39"/>
      <c r="AN97" s="39"/>
      <c r="AO97" s="39"/>
      <c r="AP97" s="39"/>
      <c r="AQ97" s="39"/>
      <c r="AR97" s="39"/>
      <c r="AS97" s="28"/>
      <c r="AT97" s="29">
        <v>0.28499999999999998</v>
      </c>
      <c r="AU97" s="29">
        <v>0.63300000000000001</v>
      </c>
      <c r="AV97" s="29">
        <v>8.2000000000000003E-2</v>
      </c>
      <c r="AW97" s="29">
        <v>3.5999999999999997E-2</v>
      </c>
      <c r="AX97" s="29">
        <v>0.8</v>
      </c>
      <c r="AY97" s="61">
        <v>1</v>
      </c>
      <c r="AZ97" s="61">
        <v>0.36</v>
      </c>
      <c r="BA97" s="61">
        <v>1</v>
      </c>
      <c r="BB97" s="30"/>
      <c r="BC97" s="30"/>
    </row>
    <row r="98" spans="1:55" s="10" customFormat="1" x14ac:dyDescent="0.2">
      <c r="A98" s="11" t="s">
        <v>282</v>
      </c>
      <c r="B98" s="9"/>
      <c r="C98" s="23" t="s">
        <v>219</v>
      </c>
      <c r="D98" s="5" t="s">
        <v>177</v>
      </c>
      <c r="E98" s="13">
        <v>0.247</v>
      </c>
      <c r="F98" s="13">
        <v>0.193</v>
      </c>
      <c r="G98" s="13">
        <f t="shared" si="35"/>
        <v>0.13181900000000002</v>
      </c>
      <c r="H98" s="13">
        <f>F98*0.317</f>
        <v>6.1180999999999999E-2</v>
      </c>
      <c r="I98" s="13">
        <v>0.6</v>
      </c>
      <c r="J98" s="15">
        <f>(I98*K98)+(I98*(1-K98)*0.25)</f>
        <v>0.15</v>
      </c>
      <c r="K98" s="13"/>
      <c r="L98" s="13"/>
      <c r="M98" s="13">
        <f t="shared" si="36"/>
        <v>0</v>
      </c>
      <c r="N98" s="13">
        <v>0.47599999999999998</v>
      </c>
      <c r="O98" s="16">
        <f t="shared" si="34"/>
        <v>1.5092500000000002</v>
      </c>
      <c r="P98" s="13">
        <v>0.66500000000000004</v>
      </c>
      <c r="Q98" s="53">
        <v>0.13300000000000001</v>
      </c>
      <c r="R98" s="22">
        <f>Q98*0.98*(0.4+13.2+54.2+8.4)/100</f>
        <v>9.9319080000000018E-2</v>
      </c>
      <c r="S98" s="13">
        <v>0.05</v>
      </c>
      <c r="T98" s="15">
        <f t="shared" si="37"/>
        <v>2.4000000000000021E-2</v>
      </c>
      <c r="U98" s="13"/>
      <c r="V98" s="13"/>
      <c r="W98" s="45">
        <v>7.3999999999999996E-2</v>
      </c>
      <c r="X98" s="45">
        <v>4.7000000000000002E-3</v>
      </c>
      <c r="Y98" s="13">
        <v>2.2000000000000001E-3</v>
      </c>
      <c r="Z98" s="13">
        <v>4.7000000000000002E-3</v>
      </c>
      <c r="AA98" s="13">
        <v>2.8E-3</v>
      </c>
      <c r="AB98" s="13">
        <v>9.7999999999999997E-3</v>
      </c>
      <c r="AC98" s="13">
        <v>1.5E-3</v>
      </c>
      <c r="AD98" s="13">
        <v>1.1999999999999999E-3</v>
      </c>
      <c r="AE98" s="15">
        <v>0</v>
      </c>
      <c r="AF98" s="17">
        <v>0</v>
      </c>
      <c r="AG98" s="17">
        <v>11</v>
      </c>
      <c r="AH98" s="17">
        <v>11</v>
      </c>
      <c r="AI98" s="17">
        <v>54</v>
      </c>
      <c r="AJ98" s="17">
        <v>0</v>
      </c>
      <c r="AK98" s="17">
        <v>0</v>
      </c>
      <c r="AL98" s="17">
        <v>541</v>
      </c>
      <c r="AM98" s="17"/>
      <c r="AN98" s="39"/>
      <c r="AO98" s="39"/>
      <c r="AP98" s="39"/>
      <c r="AQ98" s="39"/>
      <c r="AR98" s="39"/>
      <c r="AS98" s="28"/>
      <c r="AT98" s="29">
        <v>0.41699999999999998</v>
      </c>
      <c r="AU98" s="29">
        <v>0.53300000000000003</v>
      </c>
      <c r="AV98" s="29">
        <v>0.05</v>
      </c>
      <c r="AW98" s="29">
        <v>7.3999999999999996E-2</v>
      </c>
      <c r="AX98" s="29">
        <v>0.8</v>
      </c>
      <c r="AY98" s="61">
        <v>1</v>
      </c>
      <c r="AZ98" s="61">
        <v>0.57999999999999996</v>
      </c>
      <c r="BA98" s="61">
        <v>1</v>
      </c>
      <c r="BB98" s="30"/>
      <c r="BC98" s="30"/>
    </row>
    <row r="99" spans="1:55" x14ac:dyDescent="0.2">
      <c r="A99" s="71" t="s">
        <v>60</v>
      </c>
    </row>
  </sheetData>
  <autoFilter ref="A1:A98" xr:uid="{00000000-0009-0000-0000-000000000000}"/>
  <sortState xmlns:xlrd2="http://schemas.microsoft.com/office/spreadsheetml/2017/richdata2" ref="A3:AU89">
    <sortCondition ref="C3:C89"/>
    <sortCondition ref="A3:A89"/>
  </sortState>
  <phoneticPr fontId="5" type="noConversion"/>
  <pageMargins left="0.78740157499999996" right="0.78740157499999996" top="0.984251969" bottom="0.984251969" header="0.49212598499999999" footer="0.49212598499999999"/>
  <pageSetup orientation="portrait" horizontalDpi="4294967295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5664B-59DB-4A72-A47B-A7D50E7EB99D}">
  <dimension ref="A1:AV86"/>
  <sheetViews>
    <sheetView zoomScale="80" zoomScaleNormal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E51" sqref="E51"/>
    </sheetView>
  </sheetViews>
  <sheetFormatPr defaultRowHeight="16.5" x14ac:dyDescent="0.25"/>
  <cols>
    <col min="1" max="1" width="40.140625" style="77" bestFit="1" customWidth="1"/>
    <col min="2" max="2" width="15.5703125" style="87" bestFit="1" customWidth="1"/>
    <col min="3" max="3" width="22.7109375" style="87" bestFit="1" customWidth="1"/>
    <col min="4" max="4" width="20.5703125" style="87" bestFit="1" customWidth="1"/>
    <col min="5" max="5" width="22" style="113" bestFit="1" customWidth="1"/>
    <col min="6" max="6" width="22.85546875" style="87" bestFit="1" customWidth="1"/>
    <col min="7" max="7" width="15" style="113" bestFit="1" customWidth="1"/>
    <col min="8" max="8" width="15" style="90" customWidth="1"/>
    <col min="9" max="9" width="14.42578125" style="87" bestFit="1" customWidth="1"/>
    <col min="10" max="21" width="13.28515625" style="87" customWidth="1"/>
    <col min="22" max="22" width="18.42578125" style="87" bestFit="1" customWidth="1"/>
    <col min="23" max="24" width="13.28515625" style="87" customWidth="1"/>
    <col min="25" max="25" width="12.42578125" style="87" bestFit="1" customWidth="1"/>
    <col min="26" max="26" width="15.5703125" style="87" bestFit="1" customWidth="1"/>
    <col min="27" max="28" width="13.85546875" style="87" bestFit="1" customWidth="1"/>
    <col min="29" max="29" width="15.5703125" style="87" bestFit="1" customWidth="1"/>
    <col min="30" max="30" width="13.28515625" style="87" customWidth="1"/>
    <col min="31" max="31" width="15.5703125" style="87" bestFit="1" customWidth="1"/>
    <col min="32" max="35" width="13.28515625" style="87" customWidth="1"/>
    <col min="36" max="38" width="13.28515625" style="77" customWidth="1"/>
    <col min="39" max="40" width="13.5703125" style="77" bestFit="1" customWidth="1"/>
    <col min="41" max="42" width="13.28515625" style="77" customWidth="1"/>
    <col min="43" max="43" width="15.28515625" style="77" bestFit="1" customWidth="1"/>
    <col min="44" max="44" width="13.28515625" style="77" customWidth="1"/>
    <col min="45" max="45" width="17.140625" style="77" bestFit="1" customWidth="1"/>
    <col min="46" max="46" width="9.140625" style="77" hidden="1" customWidth="1"/>
    <col min="47" max="47" width="10.42578125" style="77" hidden="1" customWidth="1"/>
    <col min="48" max="48" width="0" style="77" hidden="1" customWidth="1"/>
    <col min="49" max="16384" width="9.140625" style="77"/>
  </cols>
  <sheetData>
    <row r="1" spans="1:47" ht="18.75" customHeight="1" thickBot="1" x14ac:dyDescent="0.3">
      <c r="A1" s="245" t="s">
        <v>175</v>
      </c>
      <c r="B1" s="173" t="s">
        <v>311</v>
      </c>
      <c r="C1" s="173" t="s">
        <v>312</v>
      </c>
      <c r="D1" s="174" t="s">
        <v>307</v>
      </c>
      <c r="E1" s="174" t="s">
        <v>308</v>
      </c>
      <c r="F1" s="173" t="s">
        <v>309</v>
      </c>
      <c r="G1" s="173" t="s">
        <v>304</v>
      </c>
      <c r="H1" s="175" t="s">
        <v>305</v>
      </c>
      <c r="I1" s="176" t="s">
        <v>306</v>
      </c>
      <c r="J1" s="173"/>
      <c r="K1" s="173"/>
      <c r="O1" s="77"/>
      <c r="P1" s="77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</row>
    <row r="2" spans="1:47" ht="17.25" customHeight="1" thickTop="1" thickBot="1" x14ac:dyDescent="0.3">
      <c r="A2" s="246"/>
      <c r="B2" s="177"/>
      <c r="C2" s="178"/>
      <c r="D2" s="178"/>
      <c r="E2" s="178"/>
      <c r="F2" s="179"/>
      <c r="G2" s="180"/>
      <c r="H2" s="180"/>
      <c r="I2" s="181"/>
      <c r="K2" s="173"/>
      <c r="P2" s="77"/>
    </row>
    <row r="3" spans="1:47" ht="17.25" thickTop="1" x14ac:dyDescent="0.25">
      <c r="A3" s="88"/>
      <c r="B3" s="89"/>
      <c r="C3" s="85"/>
      <c r="D3" s="75"/>
      <c r="E3" s="77"/>
      <c r="F3" s="77"/>
      <c r="G3" s="77"/>
      <c r="I3" s="77"/>
      <c r="J3" s="75"/>
      <c r="K3" s="173"/>
    </row>
    <row r="4" spans="1:47" s="98" customFormat="1" x14ac:dyDescent="0.25">
      <c r="A4" s="92" t="s">
        <v>1</v>
      </c>
      <c r="B4" s="85" t="s">
        <v>108</v>
      </c>
      <c r="C4" s="85"/>
      <c r="D4" s="85"/>
      <c r="E4" s="93" t="s">
        <v>2</v>
      </c>
      <c r="F4" s="93" t="s">
        <v>3</v>
      </c>
      <c r="G4" s="93" t="s">
        <v>3</v>
      </c>
      <c r="H4" s="93" t="s">
        <v>3</v>
      </c>
      <c r="I4" s="93" t="s">
        <v>3</v>
      </c>
      <c r="J4" s="94" t="s">
        <v>3</v>
      </c>
      <c r="K4" s="94" t="s">
        <v>109</v>
      </c>
      <c r="L4" s="94" t="s">
        <v>109</v>
      </c>
      <c r="M4" s="93" t="s">
        <v>3</v>
      </c>
      <c r="N4" s="93" t="s">
        <v>3</v>
      </c>
      <c r="O4" s="95" t="s">
        <v>4</v>
      </c>
      <c r="P4" s="93" t="s">
        <v>3</v>
      </c>
      <c r="Q4" s="93" t="s">
        <v>3</v>
      </c>
      <c r="R4" s="94" t="s">
        <v>3</v>
      </c>
      <c r="S4" s="93" t="s">
        <v>3</v>
      </c>
      <c r="T4" s="93" t="s">
        <v>3</v>
      </c>
      <c r="U4" s="94" t="s">
        <v>3</v>
      </c>
      <c r="V4" s="94" t="s">
        <v>100</v>
      </c>
      <c r="W4" s="96" t="s">
        <v>3</v>
      </c>
      <c r="X4" s="96" t="s">
        <v>3</v>
      </c>
      <c r="Y4" s="96" t="s">
        <v>3</v>
      </c>
      <c r="Z4" s="96" t="s">
        <v>3</v>
      </c>
      <c r="AA4" s="96" t="s">
        <v>3</v>
      </c>
      <c r="AB4" s="96" t="s">
        <v>3</v>
      </c>
      <c r="AC4" s="96" t="s">
        <v>3</v>
      </c>
      <c r="AD4" s="96" t="s">
        <v>3</v>
      </c>
      <c r="AE4" s="96" t="s">
        <v>3</v>
      </c>
      <c r="AF4" s="97" t="s">
        <v>34</v>
      </c>
      <c r="AG4" s="97" t="s">
        <v>34</v>
      </c>
      <c r="AH4" s="97" t="s">
        <v>34</v>
      </c>
      <c r="AI4" s="97" t="s">
        <v>34</v>
      </c>
      <c r="AJ4" s="97" t="s">
        <v>34</v>
      </c>
      <c r="AK4" s="97" t="s">
        <v>34</v>
      </c>
      <c r="AL4" s="97" t="s">
        <v>34</v>
      </c>
      <c r="AM4" s="97" t="s">
        <v>36</v>
      </c>
      <c r="AN4" s="97" t="s">
        <v>36</v>
      </c>
      <c r="AO4" s="97" t="s">
        <v>36</v>
      </c>
      <c r="AP4" s="97" t="s">
        <v>34</v>
      </c>
      <c r="AQ4" s="97" t="s">
        <v>34</v>
      </c>
      <c r="AR4" s="97" t="s">
        <v>34</v>
      </c>
      <c r="AS4" s="97" t="s">
        <v>172</v>
      </c>
    </row>
    <row r="5" spans="1:47" s="98" customFormat="1" ht="17.25" thickBot="1" x14ac:dyDescent="0.3">
      <c r="A5" s="98" t="s">
        <v>5</v>
      </c>
      <c r="B5" s="85" t="s">
        <v>6</v>
      </c>
      <c r="C5" s="85"/>
      <c r="D5" s="85"/>
      <c r="E5" s="93" t="s">
        <v>7</v>
      </c>
      <c r="F5" s="93" t="s">
        <v>8</v>
      </c>
      <c r="G5" s="93" t="s">
        <v>9</v>
      </c>
      <c r="H5" s="93" t="s">
        <v>67</v>
      </c>
      <c r="I5" s="93" t="s">
        <v>10</v>
      </c>
      <c r="J5" s="94" t="s">
        <v>11</v>
      </c>
      <c r="K5" s="94" t="s">
        <v>110</v>
      </c>
      <c r="L5" s="94" t="s">
        <v>111</v>
      </c>
      <c r="M5" s="93" t="s">
        <v>12</v>
      </c>
      <c r="N5" s="93" t="s">
        <v>13</v>
      </c>
      <c r="O5" s="95" t="s">
        <v>14</v>
      </c>
      <c r="P5" s="93" t="s">
        <v>15</v>
      </c>
      <c r="Q5" s="93" t="s">
        <v>16</v>
      </c>
      <c r="R5" s="94" t="s">
        <v>114</v>
      </c>
      <c r="S5" s="93" t="s">
        <v>17</v>
      </c>
      <c r="T5" s="93" t="s">
        <v>18</v>
      </c>
      <c r="U5" s="93" t="s">
        <v>99</v>
      </c>
      <c r="V5" s="94" t="s">
        <v>101</v>
      </c>
      <c r="W5" s="96" t="s">
        <v>19</v>
      </c>
      <c r="X5" s="96" t="s">
        <v>20</v>
      </c>
      <c r="Y5" s="96" t="s">
        <v>21</v>
      </c>
      <c r="Z5" s="96" t="s">
        <v>22</v>
      </c>
      <c r="AA5" s="96" t="s">
        <v>23</v>
      </c>
      <c r="AB5" s="96" t="s">
        <v>24</v>
      </c>
      <c r="AC5" s="96" t="s">
        <v>25</v>
      </c>
      <c r="AD5" s="96" t="s">
        <v>26</v>
      </c>
      <c r="AE5" s="96" t="s">
        <v>27</v>
      </c>
      <c r="AF5" s="97" t="s">
        <v>37</v>
      </c>
      <c r="AG5" s="97" t="s">
        <v>38</v>
      </c>
      <c r="AH5" s="97" t="s">
        <v>41</v>
      </c>
      <c r="AI5" s="97" t="s">
        <v>43</v>
      </c>
      <c r="AJ5" s="97" t="s">
        <v>42</v>
      </c>
      <c r="AK5" s="97" t="s">
        <v>40</v>
      </c>
      <c r="AL5" s="97" t="s">
        <v>39</v>
      </c>
      <c r="AM5" s="97" t="s">
        <v>44</v>
      </c>
      <c r="AN5" s="97" t="s">
        <v>45</v>
      </c>
      <c r="AO5" s="97" t="s">
        <v>46</v>
      </c>
      <c r="AP5" s="97" t="s">
        <v>47</v>
      </c>
      <c r="AQ5" s="97" t="s">
        <v>48</v>
      </c>
      <c r="AR5" s="97" t="s">
        <v>170</v>
      </c>
      <c r="AS5" s="97" t="s">
        <v>171</v>
      </c>
    </row>
    <row r="6" spans="1:47" ht="17.25" thickTop="1" x14ac:dyDescent="0.25">
      <c r="A6" s="101" t="s">
        <v>60</v>
      </c>
      <c r="B6" s="102">
        <f>VLOOKUP($A6,Alimentos!$A:$BA,2,FALSE)</f>
        <v>0</v>
      </c>
      <c r="C6" s="103">
        <f>VLOOKUP($A6,Alimentos!$A:$BA,4,FALSE)</f>
        <v>0</v>
      </c>
      <c r="D6" s="102"/>
      <c r="E6" s="104">
        <f>VLOOKUP($A6,Alimentos!$A:$BA,5,FALSE)</f>
        <v>0</v>
      </c>
      <c r="F6" s="104">
        <f>VLOOKUP($A6,Alimentos!$A:$BA,6,FALSE)</f>
        <v>0</v>
      </c>
      <c r="G6" s="104">
        <f>VLOOKUP($A6,Alimentos!$A:$BA,7,FALSE)</f>
        <v>0</v>
      </c>
      <c r="H6" s="104">
        <f>VLOOKUP($A6,Alimentos!$A:$BA,8,FALSE)</f>
        <v>0</v>
      </c>
      <c r="I6" s="104">
        <f>VLOOKUP($A6,Alimentos!$A:$BA,9,FALSE)</f>
        <v>0</v>
      </c>
      <c r="J6" s="104">
        <f>VLOOKUP($A6,Alimentos!$A:$BA,10,FALSE)</f>
        <v>0</v>
      </c>
      <c r="K6" s="104">
        <f>VLOOKUP($A6,Alimentos!$A:$BA,11,FALSE)</f>
        <v>0</v>
      </c>
      <c r="L6" s="104">
        <f>VLOOKUP($A6,Alimentos!$A:$BA,12,FALSE)</f>
        <v>0</v>
      </c>
      <c r="M6" s="104">
        <f>VLOOKUP($A6,Alimentos!$A:$BA,13,FALSE)</f>
        <v>0</v>
      </c>
      <c r="N6" s="104">
        <f>VLOOKUP($A6,Alimentos!$A:$BA,14,FALSE)</f>
        <v>0</v>
      </c>
      <c r="O6" s="105">
        <f>VLOOKUP($A6,Alimentos!$A:$BA,15,FALSE)</f>
        <v>0</v>
      </c>
      <c r="P6" s="104">
        <f>VLOOKUP($A6,Alimentos!$A:$BA,16,FALSE)</f>
        <v>0</v>
      </c>
      <c r="Q6" s="104">
        <f>VLOOKUP($A6,Alimentos!$A:$BA,17,FALSE)</f>
        <v>0</v>
      </c>
      <c r="R6" s="104">
        <f>VLOOKUP($A6,Alimentos!$A:$BA,18,FALSE)</f>
        <v>0</v>
      </c>
      <c r="S6" s="104">
        <f>VLOOKUP($A6,Alimentos!$A:$BA,19,FALSE)</f>
        <v>0</v>
      </c>
      <c r="T6" s="104">
        <f>VLOOKUP($A6,Alimentos!$A:$BA,20,FALSE)</f>
        <v>0</v>
      </c>
      <c r="U6" s="104">
        <f>VLOOKUP($A6,Alimentos!$A:$BA,21,FALSE)</f>
        <v>0</v>
      </c>
      <c r="V6" s="104">
        <f>VLOOKUP($A6,Alimentos!$A:$BA,22,FALSE)</f>
        <v>0</v>
      </c>
      <c r="W6" s="106">
        <f>VLOOKUP($A6,Alimentos!$A:$BA,23,FALSE)</f>
        <v>0</v>
      </c>
      <c r="X6" s="106">
        <f>VLOOKUP($A6,Alimentos!$A:$BA,24,FALSE)</f>
        <v>0</v>
      </c>
      <c r="Y6" s="106">
        <f>VLOOKUP($A6,Alimentos!$A:$BA,25,FALSE)</f>
        <v>0</v>
      </c>
      <c r="Z6" s="106">
        <f>VLOOKUP($A6,Alimentos!$A:$BA,26,FALSE)</f>
        <v>0</v>
      </c>
      <c r="AA6" s="106">
        <f>VLOOKUP($A6,Alimentos!$A:$BA,27,FALSE)</f>
        <v>0</v>
      </c>
      <c r="AB6" s="106">
        <f>VLOOKUP($A6,Alimentos!$A:$BA,28,FALSE)</f>
        <v>0</v>
      </c>
      <c r="AC6" s="106">
        <f>VLOOKUP($A6,Alimentos!$A:$BA,29,FALSE)</f>
        <v>0</v>
      </c>
      <c r="AD6" s="106">
        <f>VLOOKUP($A6,Alimentos!$A:$BA,30,FALSE)</f>
        <v>0</v>
      </c>
      <c r="AE6" s="106">
        <f>VLOOKUP($A6,Alimentos!$A:$BA,31,FALSE)</f>
        <v>0</v>
      </c>
      <c r="AF6" s="107">
        <f>VLOOKUP($A6,Alimentos!$A:$BA,32,FALSE)</f>
        <v>0</v>
      </c>
      <c r="AG6" s="107">
        <f>VLOOKUP($A6,Alimentos!$A:$BA,33,FALSE)</f>
        <v>0</v>
      </c>
      <c r="AH6" s="107">
        <f>VLOOKUP($A6,Alimentos!$A:$BA,34,FALSE)</f>
        <v>0</v>
      </c>
      <c r="AI6" s="107">
        <f>VLOOKUP($A6,Alimentos!$A:$BA,35,FALSE)</f>
        <v>0</v>
      </c>
      <c r="AJ6" s="107">
        <f>VLOOKUP($A6,Alimentos!$A:$BA,36,FALSE)</f>
        <v>0</v>
      </c>
      <c r="AK6" s="107">
        <f>VLOOKUP($A6,Alimentos!$A:$BA,37,FALSE)</f>
        <v>0</v>
      </c>
      <c r="AL6" s="107">
        <f>VLOOKUP($A6,Alimentos!$A:$BA,38,FALSE)</f>
        <v>0</v>
      </c>
      <c r="AM6" s="107">
        <f>VLOOKUP($A6,Alimentos!$A:$BA,39,FALSE)</f>
        <v>0</v>
      </c>
      <c r="AN6" s="107">
        <f>VLOOKUP($A6,Alimentos!$A:$BA,40,FALSE)</f>
        <v>0</v>
      </c>
      <c r="AO6" s="107">
        <f>VLOOKUP($A6,Alimentos!$A:$BA,41,FALSE)</f>
        <v>0</v>
      </c>
      <c r="AP6" s="107">
        <f>VLOOKUP($A6,Alimentos!$A:$BA,42,FALSE)</f>
        <v>0</v>
      </c>
      <c r="AQ6" s="107">
        <f>VLOOKUP($A6,Alimentos!$A:$BA,43,FALSE)</f>
        <v>0</v>
      </c>
      <c r="AR6" s="107">
        <f>VLOOKUP($A6,Alimentos!$A:$BA,44,FALSE)</f>
        <v>0</v>
      </c>
      <c r="AS6" s="107">
        <f>VLOOKUP($A6,Alimentos!$A:$BA,45,FALSE)</f>
        <v>0</v>
      </c>
    </row>
    <row r="7" spans="1:47" x14ac:dyDescent="0.25">
      <c r="A7" s="108" t="s">
        <v>60</v>
      </c>
      <c r="B7" s="109">
        <f>VLOOKUP($A7,Alimentos!$A:$BA,2,FALSE)</f>
        <v>0</v>
      </c>
      <c r="C7" s="110">
        <f>VLOOKUP($A7,Alimentos!$A:$BA,4,FALSE)</f>
        <v>0</v>
      </c>
      <c r="D7" s="109"/>
      <c r="E7" s="111">
        <f>VLOOKUP($A7,Alimentos!$A:$BA,5,FALSE)</f>
        <v>0</v>
      </c>
      <c r="F7" s="111">
        <f>VLOOKUP($A7,Alimentos!$A:$BA,6,FALSE)</f>
        <v>0</v>
      </c>
      <c r="G7" s="111">
        <f>VLOOKUP($A7,Alimentos!$A:$BA,7,FALSE)</f>
        <v>0</v>
      </c>
      <c r="H7" s="111">
        <f>VLOOKUP($A7,Alimentos!$A:$BA,8,FALSE)</f>
        <v>0</v>
      </c>
      <c r="I7" s="111">
        <f>VLOOKUP($A7,Alimentos!$A:$BA,9,FALSE)</f>
        <v>0</v>
      </c>
      <c r="J7" s="111">
        <f>VLOOKUP($A7,Alimentos!$A:$BA,10,FALSE)</f>
        <v>0</v>
      </c>
      <c r="K7" s="111">
        <f>VLOOKUP($A7,Alimentos!$A:$BA,11,FALSE)</f>
        <v>0</v>
      </c>
      <c r="L7" s="111">
        <f>VLOOKUP($A7,Alimentos!$A:$BA,12,FALSE)</f>
        <v>0</v>
      </c>
      <c r="M7" s="111">
        <f>VLOOKUP($A7,Alimentos!$A:$BA,13,FALSE)</f>
        <v>0</v>
      </c>
      <c r="N7" s="111">
        <f>VLOOKUP($A7,Alimentos!$A:$BA,14,FALSE)</f>
        <v>0</v>
      </c>
      <c r="O7" s="90">
        <f>VLOOKUP($A7,Alimentos!$A:$BA,15,FALSE)</f>
        <v>0</v>
      </c>
      <c r="P7" s="111">
        <f>VLOOKUP($A7,Alimentos!$A:$BA,16,FALSE)</f>
        <v>0</v>
      </c>
      <c r="Q7" s="111">
        <f>VLOOKUP($A7,Alimentos!$A:$BA,17,FALSE)</f>
        <v>0</v>
      </c>
      <c r="R7" s="111">
        <f>VLOOKUP($A7,Alimentos!$A:$BA,18,FALSE)</f>
        <v>0</v>
      </c>
      <c r="S7" s="111">
        <f>VLOOKUP($A7,Alimentos!$A:$BA,19,FALSE)</f>
        <v>0</v>
      </c>
      <c r="T7" s="111">
        <f>VLOOKUP($A7,Alimentos!$A:$BA,20,FALSE)</f>
        <v>0</v>
      </c>
      <c r="U7" s="111">
        <f>VLOOKUP($A7,Alimentos!$A:$BA,21,FALSE)</f>
        <v>0</v>
      </c>
      <c r="V7" s="111">
        <f>VLOOKUP($A7,Alimentos!$A:$BA,22,FALSE)</f>
        <v>0</v>
      </c>
      <c r="W7" s="112">
        <f>VLOOKUP($A7,Alimentos!$A:$BA,23,FALSE)</f>
        <v>0</v>
      </c>
      <c r="X7" s="112">
        <f>VLOOKUP($A7,Alimentos!$A:$BA,24,FALSE)</f>
        <v>0</v>
      </c>
      <c r="Y7" s="112">
        <f>VLOOKUP($A7,Alimentos!$A:$BA,25,FALSE)</f>
        <v>0</v>
      </c>
      <c r="Z7" s="112">
        <f>VLOOKUP($A7,Alimentos!$A:$BA,26,FALSE)</f>
        <v>0</v>
      </c>
      <c r="AA7" s="112">
        <f>VLOOKUP($A7,Alimentos!$A:$BA,27,FALSE)</f>
        <v>0</v>
      </c>
      <c r="AB7" s="112">
        <f>VLOOKUP($A7,Alimentos!$A:$BA,28,FALSE)</f>
        <v>0</v>
      </c>
      <c r="AC7" s="112">
        <f>VLOOKUP($A7,Alimentos!$A:$BA,29,FALSE)</f>
        <v>0</v>
      </c>
      <c r="AD7" s="112">
        <f>VLOOKUP($A7,Alimentos!$A:$BA,30,FALSE)</f>
        <v>0</v>
      </c>
      <c r="AE7" s="112">
        <f>VLOOKUP($A7,Alimentos!$A:$BA,31,FALSE)</f>
        <v>0</v>
      </c>
      <c r="AF7" s="113">
        <f>VLOOKUP($A7,Alimentos!$A:$BA,32,FALSE)</f>
        <v>0</v>
      </c>
      <c r="AG7" s="113">
        <f>VLOOKUP($A7,Alimentos!$A:$BA,33,FALSE)</f>
        <v>0</v>
      </c>
      <c r="AH7" s="113">
        <f>VLOOKUP($A7,Alimentos!$A:$BA,34,FALSE)</f>
        <v>0</v>
      </c>
      <c r="AI7" s="113">
        <f>VLOOKUP($A7,Alimentos!$A:$BA,35,FALSE)</f>
        <v>0</v>
      </c>
      <c r="AJ7" s="113">
        <f>VLOOKUP($A7,Alimentos!$A:$BA,36,FALSE)</f>
        <v>0</v>
      </c>
      <c r="AK7" s="113">
        <f>VLOOKUP($A7,Alimentos!$A:$BA,37,FALSE)</f>
        <v>0</v>
      </c>
      <c r="AL7" s="113">
        <f>VLOOKUP($A7,Alimentos!$A:$BA,38,FALSE)</f>
        <v>0</v>
      </c>
      <c r="AM7" s="113">
        <f>VLOOKUP($A7,Alimentos!$A:$BA,39,FALSE)</f>
        <v>0</v>
      </c>
      <c r="AN7" s="113">
        <f>VLOOKUP($A7,Alimentos!$A:$BA,40,FALSE)</f>
        <v>0</v>
      </c>
      <c r="AO7" s="113">
        <f>VLOOKUP($A7,Alimentos!$A:$BA,41,FALSE)</f>
        <v>0</v>
      </c>
      <c r="AP7" s="113">
        <f>VLOOKUP($A7,Alimentos!$A:$BA,42,FALSE)</f>
        <v>0</v>
      </c>
      <c r="AQ7" s="113">
        <f>VLOOKUP($A7,Alimentos!$A:$BA,43,FALSE)</f>
        <v>0</v>
      </c>
      <c r="AR7" s="113">
        <f>VLOOKUP($A7,Alimentos!$A:$BA,44,FALSE)</f>
        <v>0</v>
      </c>
      <c r="AS7" s="113">
        <f>VLOOKUP($A7,Alimentos!$A:$BA,45,FALSE)</f>
        <v>0</v>
      </c>
    </row>
    <row r="8" spans="1:47" x14ac:dyDescent="0.25">
      <c r="A8" s="108" t="s">
        <v>60</v>
      </c>
      <c r="B8" s="109">
        <f>VLOOKUP($A8,Alimentos!$A:$BA,2,FALSE)</f>
        <v>0</v>
      </c>
      <c r="C8" s="114">
        <f>VLOOKUP($A8,Alimentos!$A:$BA,4,FALSE)</f>
        <v>0</v>
      </c>
      <c r="E8" s="111">
        <f>VLOOKUP($A8,Alimentos!$A:$BA,5,FALSE)</f>
        <v>0</v>
      </c>
      <c r="F8" s="111">
        <f>VLOOKUP($A8,Alimentos!$A:$BA,6,FALSE)</f>
        <v>0</v>
      </c>
      <c r="G8" s="111">
        <f>VLOOKUP($A8,Alimentos!$A:$BA,7,FALSE)</f>
        <v>0</v>
      </c>
      <c r="H8" s="111">
        <f>VLOOKUP($A8,Alimentos!$A:$BA,8,FALSE)</f>
        <v>0</v>
      </c>
      <c r="I8" s="111">
        <f>VLOOKUP($A8,Alimentos!$A:$BA,9,FALSE)</f>
        <v>0</v>
      </c>
      <c r="J8" s="111">
        <f>VLOOKUP($A8,Alimentos!$A:$BA,10,FALSE)</f>
        <v>0</v>
      </c>
      <c r="K8" s="111">
        <f>VLOOKUP($A8,Alimentos!$A:$BA,11,FALSE)</f>
        <v>0</v>
      </c>
      <c r="L8" s="111">
        <f>VLOOKUP($A8,Alimentos!$A:$BA,12,FALSE)</f>
        <v>0</v>
      </c>
      <c r="M8" s="111">
        <f>VLOOKUP($A8,Alimentos!$A:$BA,13,FALSE)</f>
        <v>0</v>
      </c>
      <c r="N8" s="111">
        <f>VLOOKUP($A8,Alimentos!$A:$BA,14,FALSE)</f>
        <v>0</v>
      </c>
      <c r="O8" s="90">
        <f>VLOOKUP($A8,Alimentos!$A:$BA,15,FALSE)</f>
        <v>0</v>
      </c>
      <c r="P8" s="111">
        <f>VLOOKUP($A8,Alimentos!$A:$BA,16,FALSE)</f>
        <v>0</v>
      </c>
      <c r="Q8" s="111">
        <f>VLOOKUP($A8,Alimentos!$A:$BA,17,FALSE)</f>
        <v>0</v>
      </c>
      <c r="R8" s="111">
        <f>VLOOKUP($A8,Alimentos!$A:$BA,18,FALSE)</f>
        <v>0</v>
      </c>
      <c r="S8" s="111">
        <f>VLOOKUP($A8,Alimentos!$A:$BA,19,FALSE)</f>
        <v>0</v>
      </c>
      <c r="T8" s="111">
        <f>VLOOKUP($A8,Alimentos!$A:$BA,20,FALSE)</f>
        <v>0</v>
      </c>
      <c r="U8" s="111">
        <f>VLOOKUP($A8,Alimentos!$A:$BA,21,FALSE)</f>
        <v>0</v>
      </c>
      <c r="V8" s="111">
        <f>VLOOKUP($A8,Alimentos!$A:$BA,22,FALSE)</f>
        <v>0</v>
      </c>
      <c r="W8" s="112">
        <f>VLOOKUP($A8,Alimentos!$A:$BA,23,FALSE)</f>
        <v>0</v>
      </c>
      <c r="X8" s="112">
        <f>VLOOKUP($A8,Alimentos!$A:$BA,24,FALSE)</f>
        <v>0</v>
      </c>
      <c r="Y8" s="112">
        <f>VLOOKUP($A8,Alimentos!$A:$BA,25,FALSE)</f>
        <v>0</v>
      </c>
      <c r="Z8" s="112">
        <f>VLOOKUP($A8,Alimentos!$A:$BA,26,FALSE)</f>
        <v>0</v>
      </c>
      <c r="AA8" s="112">
        <f>VLOOKUP($A8,Alimentos!$A:$BA,27,FALSE)</f>
        <v>0</v>
      </c>
      <c r="AB8" s="112">
        <f>VLOOKUP($A8,Alimentos!$A:$BA,28,FALSE)</f>
        <v>0</v>
      </c>
      <c r="AC8" s="112">
        <f>VLOOKUP($A8,Alimentos!$A:$BA,29,FALSE)</f>
        <v>0</v>
      </c>
      <c r="AD8" s="112">
        <f>VLOOKUP($A8,Alimentos!$A:$BA,30,FALSE)</f>
        <v>0</v>
      </c>
      <c r="AE8" s="112">
        <f>VLOOKUP($A8,Alimentos!$A:$BA,31,FALSE)</f>
        <v>0</v>
      </c>
      <c r="AF8" s="113">
        <f>VLOOKUP($A8,Alimentos!$A:$BA,32,FALSE)</f>
        <v>0</v>
      </c>
      <c r="AG8" s="113">
        <f>VLOOKUP($A8,Alimentos!$A:$BA,33,FALSE)</f>
        <v>0</v>
      </c>
      <c r="AH8" s="113">
        <f>VLOOKUP($A8,Alimentos!$A:$BA,34,FALSE)</f>
        <v>0</v>
      </c>
      <c r="AI8" s="113">
        <f>VLOOKUP($A8,Alimentos!$A:$BA,35,FALSE)</f>
        <v>0</v>
      </c>
      <c r="AJ8" s="113">
        <f>VLOOKUP($A8,Alimentos!$A:$BA,36,FALSE)</f>
        <v>0</v>
      </c>
      <c r="AK8" s="113">
        <f>VLOOKUP($A8,Alimentos!$A:$BA,37,FALSE)</f>
        <v>0</v>
      </c>
      <c r="AL8" s="113">
        <f>VLOOKUP($A8,Alimentos!$A:$BA,38,FALSE)</f>
        <v>0</v>
      </c>
      <c r="AM8" s="113">
        <f>VLOOKUP($A8,Alimentos!$A:$BA,39,FALSE)</f>
        <v>0</v>
      </c>
      <c r="AN8" s="113">
        <f>VLOOKUP($A8,Alimentos!$A:$BA,40,FALSE)</f>
        <v>0</v>
      </c>
      <c r="AO8" s="113">
        <f>VLOOKUP($A8,Alimentos!$A:$BA,41,FALSE)</f>
        <v>0</v>
      </c>
      <c r="AP8" s="113">
        <f>VLOOKUP($A8,Alimentos!$A:$BA,42,FALSE)</f>
        <v>0</v>
      </c>
      <c r="AQ8" s="113">
        <f>VLOOKUP($A8,Alimentos!$A:$BA,43,FALSE)</f>
        <v>0</v>
      </c>
      <c r="AR8" s="113">
        <f>VLOOKUP($A8,Alimentos!$A:$BA,44,FALSE)</f>
        <v>0</v>
      </c>
      <c r="AS8" s="113">
        <f>VLOOKUP($A8,Alimentos!$A:$BA,45,FALSE)</f>
        <v>0</v>
      </c>
    </row>
    <row r="9" spans="1:47" x14ac:dyDescent="0.25">
      <c r="A9" s="108" t="s">
        <v>60</v>
      </c>
      <c r="B9" s="109">
        <f>VLOOKUP($A9,Alimentos!$A:$BA,2,FALSE)</f>
        <v>0</v>
      </c>
      <c r="C9" s="114">
        <f>VLOOKUP($A9,Alimentos!$A:$BA,4,FALSE)</f>
        <v>0</v>
      </c>
      <c r="E9" s="111">
        <f>VLOOKUP($A9,Alimentos!$A:$BA,5,FALSE)</f>
        <v>0</v>
      </c>
      <c r="F9" s="111">
        <f>VLOOKUP($A9,Alimentos!$A:$BA,6,FALSE)</f>
        <v>0</v>
      </c>
      <c r="G9" s="111">
        <f>VLOOKUP($A9,Alimentos!$A:$BA,7,FALSE)</f>
        <v>0</v>
      </c>
      <c r="H9" s="111">
        <f>VLOOKUP($A9,Alimentos!$A:$BA,8,FALSE)</f>
        <v>0</v>
      </c>
      <c r="I9" s="111">
        <f>VLOOKUP($A9,Alimentos!$A:$BA,9,FALSE)</f>
        <v>0</v>
      </c>
      <c r="J9" s="111">
        <f>VLOOKUP($A9,Alimentos!$A:$BA,10,FALSE)</f>
        <v>0</v>
      </c>
      <c r="K9" s="111">
        <f>VLOOKUP($A9,Alimentos!$A:$BA,11,FALSE)</f>
        <v>0</v>
      </c>
      <c r="L9" s="111">
        <f>VLOOKUP($A9,Alimentos!$A:$BA,12,FALSE)</f>
        <v>0</v>
      </c>
      <c r="M9" s="111">
        <f>VLOOKUP($A9,Alimentos!$A:$BA,13,FALSE)</f>
        <v>0</v>
      </c>
      <c r="N9" s="111">
        <f>VLOOKUP($A9,Alimentos!$A:$BA,14,FALSE)</f>
        <v>0</v>
      </c>
      <c r="O9" s="90">
        <f>VLOOKUP($A9,Alimentos!$A:$BA,15,FALSE)</f>
        <v>0</v>
      </c>
      <c r="P9" s="111">
        <f>VLOOKUP($A9,Alimentos!$A:$BA,16,FALSE)</f>
        <v>0</v>
      </c>
      <c r="Q9" s="111">
        <f>VLOOKUP($A9,Alimentos!$A:$BA,17,FALSE)</f>
        <v>0</v>
      </c>
      <c r="R9" s="111">
        <f>VLOOKUP($A9,Alimentos!$A:$BA,18,FALSE)</f>
        <v>0</v>
      </c>
      <c r="S9" s="111">
        <f>VLOOKUP($A9,Alimentos!$A:$BA,19,FALSE)</f>
        <v>0</v>
      </c>
      <c r="T9" s="111">
        <f>VLOOKUP($A9,Alimentos!$A:$BA,20,FALSE)</f>
        <v>0</v>
      </c>
      <c r="U9" s="111">
        <f>VLOOKUP($A9,Alimentos!$A:$BA,21,FALSE)</f>
        <v>0</v>
      </c>
      <c r="V9" s="111">
        <f>VLOOKUP($A9,Alimentos!$A:$BA,22,FALSE)</f>
        <v>0</v>
      </c>
      <c r="W9" s="112">
        <f>VLOOKUP($A9,Alimentos!$A:$BA,23,FALSE)</f>
        <v>0</v>
      </c>
      <c r="X9" s="112">
        <f>VLOOKUP($A9,Alimentos!$A:$BA,24,FALSE)</f>
        <v>0</v>
      </c>
      <c r="Y9" s="112">
        <f>VLOOKUP($A9,Alimentos!$A:$BA,25,FALSE)</f>
        <v>0</v>
      </c>
      <c r="Z9" s="112">
        <f>VLOOKUP($A9,Alimentos!$A:$BA,26,FALSE)</f>
        <v>0</v>
      </c>
      <c r="AA9" s="112">
        <f>VLOOKUP($A9,Alimentos!$A:$BA,27,FALSE)</f>
        <v>0</v>
      </c>
      <c r="AB9" s="112">
        <f>VLOOKUP($A9,Alimentos!$A:$BA,28,FALSE)</f>
        <v>0</v>
      </c>
      <c r="AC9" s="112">
        <f>VLOOKUP($A9,Alimentos!$A:$BA,29,FALSE)</f>
        <v>0</v>
      </c>
      <c r="AD9" s="112">
        <f>VLOOKUP($A9,Alimentos!$A:$BA,30,FALSE)</f>
        <v>0</v>
      </c>
      <c r="AE9" s="112">
        <f>VLOOKUP($A9,Alimentos!$A:$BA,31,FALSE)</f>
        <v>0</v>
      </c>
      <c r="AF9" s="113">
        <f>VLOOKUP($A9,Alimentos!$A:$BA,32,FALSE)</f>
        <v>0</v>
      </c>
      <c r="AG9" s="113">
        <f>VLOOKUP($A9,Alimentos!$A:$BA,33,FALSE)</f>
        <v>0</v>
      </c>
      <c r="AH9" s="113">
        <f>VLOOKUP($A9,Alimentos!$A:$BA,34,FALSE)</f>
        <v>0</v>
      </c>
      <c r="AI9" s="113">
        <f>VLOOKUP($A9,Alimentos!$A:$BA,35,FALSE)</f>
        <v>0</v>
      </c>
      <c r="AJ9" s="113">
        <f>VLOOKUP($A9,Alimentos!$A:$BA,36,FALSE)</f>
        <v>0</v>
      </c>
      <c r="AK9" s="113">
        <f>VLOOKUP($A9,Alimentos!$A:$BA,37,FALSE)</f>
        <v>0</v>
      </c>
      <c r="AL9" s="113">
        <f>VLOOKUP($A9,Alimentos!$A:$BA,38,FALSE)</f>
        <v>0</v>
      </c>
      <c r="AM9" s="113">
        <f>VLOOKUP($A9,Alimentos!$A:$BA,39,FALSE)</f>
        <v>0</v>
      </c>
      <c r="AN9" s="113">
        <f>VLOOKUP($A9,Alimentos!$A:$BA,40,FALSE)</f>
        <v>0</v>
      </c>
      <c r="AO9" s="113">
        <f>VLOOKUP($A9,Alimentos!$A:$BA,41,FALSE)</f>
        <v>0</v>
      </c>
      <c r="AP9" s="113">
        <f>VLOOKUP($A9,Alimentos!$A:$BA,42,FALSE)</f>
        <v>0</v>
      </c>
      <c r="AQ9" s="113">
        <f>VLOOKUP($A9,Alimentos!$A:$BA,43,FALSE)</f>
        <v>0</v>
      </c>
      <c r="AR9" s="113">
        <f>VLOOKUP($A9,Alimentos!$A:$BA,44,FALSE)</f>
        <v>0</v>
      </c>
      <c r="AS9" s="113">
        <f>VLOOKUP($A9,Alimentos!$A:$BA,45,FALSE)</f>
        <v>0</v>
      </c>
    </row>
    <row r="10" spans="1:47" x14ac:dyDescent="0.25">
      <c r="A10" s="108" t="s">
        <v>60</v>
      </c>
      <c r="B10" s="109">
        <f>VLOOKUP($A10,Alimentos!$A:$BA,2,FALSE)</f>
        <v>0</v>
      </c>
      <c r="C10" s="114">
        <f>VLOOKUP($A10,Alimentos!$A:$BA,4,FALSE)</f>
        <v>0</v>
      </c>
      <c r="E10" s="111">
        <f>VLOOKUP($A10,Alimentos!$A:$BA,5,FALSE)</f>
        <v>0</v>
      </c>
      <c r="F10" s="111">
        <f>VLOOKUP($A10,Alimentos!$A:$BA,6,FALSE)</f>
        <v>0</v>
      </c>
      <c r="G10" s="111">
        <f>VLOOKUP($A10,Alimentos!$A:$BA,7,FALSE)</f>
        <v>0</v>
      </c>
      <c r="H10" s="111">
        <f>VLOOKUP($A10,Alimentos!$A:$BA,8,FALSE)</f>
        <v>0</v>
      </c>
      <c r="I10" s="111">
        <f>VLOOKUP($A10,Alimentos!$A:$BA,9,FALSE)</f>
        <v>0</v>
      </c>
      <c r="J10" s="111">
        <f>VLOOKUP($A10,Alimentos!$A:$BA,10,FALSE)</f>
        <v>0</v>
      </c>
      <c r="K10" s="111">
        <f>VLOOKUP($A10,Alimentos!$A:$BA,11,FALSE)</f>
        <v>0</v>
      </c>
      <c r="L10" s="111">
        <f>VLOOKUP($A10,Alimentos!$A:$BA,12,FALSE)</f>
        <v>0</v>
      </c>
      <c r="M10" s="111">
        <f>VLOOKUP($A10,Alimentos!$A:$BA,13,FALSE)</f>
        <v>0</v>
      </c>
      <c r="N10" s="111">
        <f>VLOOKUP($A10,Alimentos!$A:$BA,14,FALSE)</f>
        <v>0</v>
      </c>
      <c r="O10" s="90">
        <f>VLOOKUP($A10,Alimentos!$A:$BA,15,FALSE)</f>
        <v>0</v>
      </c>
      <c r="P10" s="111">
        <f>VLOOKUP($A10,Alimentos!$A:$BA,16,FALSE)</f>
        <v>0</v>
      </c>
      <c r="Q10" s="111">
        <f>VLOOKUP($A10,Alimentos!$A:$BA,17,FALSE)</f>
        <v>0</v>
      </c>
      <c r="R10" s="111">
        <f>VLOOKUP($A10,Alimentos!$A:$BA,18,FALSE)</f>
        <v>0</v>
      </c>
      <c r="S10" s="111">
        <f>VLOOKUP($A10,Alimentos!$A:$BA,19,FALSE)</f>
        <v>0</v>
      </c>
      <c r="T10" s="111">
        <f>VLOOKUP($A10,Alimentos!$A:$BA,20,FALSE)</f>
        <v>0</v>
      </c>
      <c r="U10" s="111">
        <f>VLOOKUP($A10,Alimentos!$A:$BA,21,FALSE)</f>
        <v>0</v>
      </c>
      <c r="V10" s="111">
        <f>VLOOKUP($A10,Alimentos!$A:$BA,22,FALSE)</f>
        <v>0</v>
      </c>
      <c r="W10" s="112">
        <f>VLOOKUP($A10,Alimentos!$A:$BA,23,FALSE)</f>
        <v>0</v>
      </c>
      <c r="X10" s="112">
        <f>VLOOKUP($A10,Alimentos!$A:$BA,24,FALSE)</f>
        <v>0</v>
      </c>
      <c r="Y10" s="112">
        <f>VLOOKUP($A10,Alimentos!$A:$BA,25,FALSE)</f>
        <v>0</v>
      </c>
      <c r="Z10" s="112">
        <f>VLOOKUP($A10,Alimentos!$A:$BA,26,FALSE)</f>
        <v>0</v>
      </c>
      <c r="AA10" s="112">
        <f>VLOOKUP($A10,Alimentos!$A:$BA,27,FALSE)</f>
        <v>0</v>
      </c>
      <c r="AB10" s="112">
        <f>VLOOKUP($A10,Alimentos!$A:$BA,28,FALSE)</f>
        <v>0</v>
      </c>
      <c r="AC10" s="112">
        <f>VLOOKUP($A10,Alimentos!$A:$BA,29,FALSE)</f>
        <v>0</v>
      </c>
      <c r="AD10" s="112">
        <f>VLOOKUP($A10,Alimentos!$A:$BA,30,FALSE)</f>
        <v>0</v>
      </c>
      <c r="AE10" s="112">
        <f>VLOOKUP($A10,Alimentos!$A:$BA,31,FALSE)</f>
        <v>0</v>
      </c>
      <c r="AF10" s="113">
        <f>VLOOKUP($A10,Alimentos!$A:$BA,32,FALSE)</f>
        <v>0</v>
      </c>
      <c r="AG10" s="113">
        <f>VLOOKUP($A10,Alimentos!$A:$BA,33,FALSE)</f>
        <v>0</v>
      </c>
      <c r="AH10" s="113">
        <f>VLOOKUP($A10,Alimentos!$A:$BA,34,FALSE)</f>
        <v>0</v>
      </c>
      <c r="AI10" s="113">
        <f>VLOOKUP($A10,Alimentos!$A:$BA,35,FALSE)</f>
        <v>0</v>
      </c>
      <c r="AJ10" s="113">
        <f>VLOOKUP($A10,Alimentos!$A:$BA,36,FALSE)</f>
        <v>0</v>
      </c>
      <c r="AK10" s="113">
        <f>VLOOKUP($A10,Alimentos!$A:$BA,37,FALSE)</f>
        <v>0</v>
      </c>
      <c r="AL10" s="113">
        <f>VLOOKUP($A10,Alimentos!$A:$BA,38,FALSE)</f>
        <v>0</v>
      </c>
      <c r="AM10" s="113">
        <f>VLOOKUP($A10,Alimentos!$A:$BA,39,FALSE)</f>
        <v>0</v>
      </c>
      <c r="AN10" s="113">
        <f>VLOOKUP($A10,Alimentos!$A:$BA,40,FALSE)</f>
        <v>0</v>
      </c>
      <c r="AO10" s="113">
        <f>VLOOKUP($A10,Alimentos!$A:$BA,41,FALSE)</f>
        <v>0</v>
      </c>
      <c r="AP10" s="113">
        <f>VLOOKUP($A10,Alimentos!$A:$BA,42,FALSE)</f>
        <v>0</v>
      </c>
      <c r="AQ10" s="113">
        <f>VLOOKUP($A10,Alimentos!$A:$BA,43,FALSE)</f>
        <v>0</v>
      </c>
      <c r="AR10" s="113">
        <f>VLOOKUP($A10,Alimentos!$A:$BA,44,FALSE)</f>
        <v>0</v>
      </c>
      <c r="AS10" s="113">
        <f>VLOOKUP($A10,Alimentos!$A:$BA,45,FALSE)</f>
        <v>0</v>
      </c>
    </row>
    <row r="11" spans="1:47" x14ac:dyDescent="0.25">
      <c r="A11" s="108" t="s">
        <v>60</v>
      </c>
      <c r="B11" s="109">
        <f>VLOOKUP($A11,Alimentos!$A:$BA,2,FALSE)</f>
        <v>0</v>
      </c>
      <c r="C11" s="114">
        <f>VLOOKUP($A11,Alimentos!$A:$BA,4,FALSE)</f>
        <v>0</v>
      </c>
      <c r="E11" s="111">
        <f>VLOOKUP($A11,Alimentos!$A:$BA,5,FALSE)</f>
        <v>0</v>
      </c>
      <c r="F11" s="111">
        <f>VLOOKUP($A11,Alimentos!$A:$BA,6,FALSE)</f>
        <v>0</v>
      </c>
      <c r="G11" s="111">
        <f>VLOOKUP($A11,Alimentos!$A:$BA,7,FALSE)</f>
        <v>0</v>
      </c>
      <c r="H11" s="111">
        <f>VLOOKUP($A11,Alimentos!$A:$BA,8,FALSE)</f>
        <v>0</v>
      </c>
      <c r="I11" s="111">
        <f>VLOOKUP($A11,Alimentos!$A:$BA,9,FALSE)</f>
        <v>0</v>
      </c>
      <c r="J11" s="111">
        <f>VLOOKUP($A11,Alimentos!$A:$BA,10,FALSE)</f>
        <v>0</v>
      </c>
      <c r="K11" s="111">
        <f>VLOOKUP($A11,Alimentos!$A:$BA,11,FALSE)</f>
        <v>0</v>
      </c>
      <c r="L11" s="111">
        <f>VLOOKUP($A11,Alimentos!$A:$BA,12,FALSE)</f>
        <v>0</v>
      </c>
      <c r="M11" s="111">
        <f>VLOOKUP($A11,Alimentos!$A:$BA,13,FALSE)</f>
        <v>0</v>
      </c>
      <c r="N11" s="111">
        <f>VLOOKUP($A11,Alimentos!$A:$BA,14,FALSE)</f>
        <v>0</v>
      </c>
      <c r="O11" s="90">
        <f>VLOOKUP($A11,Alimentos!$A:$BA,15,FALSE)</f>
        <v>0</v>
      </c>
      <c r="P11" s="111">
        <f>VLOOKUP($A11,Alimentos!$A:$BA,16,FALSE)</f>
        <v>0</v>
      </c>
      <c r="Q11" s="111">
        <f>VLOOKUP($A11,Alimentos!$A:$BA,17,FALSE)</f>
        <v>0</v>
      </c>
      <c r="R11" s="111">
        <f>VLOOKUP($A11,Alimentos!$A:$BA,18,FALSE)</f>
        <v>0</v>
      </c>
      <c r="S11" s="111">
        <f>VLOOKUP($A11,Alimentos!$A:$BA,19,FALSE)</f>
        <v>0</v>
      </c>
      <c r="T11" s="111">
        <f>VLOOKUP($A11,Alimentos!$A:$BA,20,FALSE)</f>
        <v>0</v>
      </c>
      <c r="U11" s="111">
        <f>VLOOKUP($A11,Alimentos!$A:$BA,21,FALSE)</f>
        <v>0</v>
      </c>
      <c r="V11" s="111">
        <f>VLOOKUP($A11,Alimentos!$A:$BA,22,FALSE)</f>
        <v>0</v>
      </c>
      <c r="W11" s="112">
        <f>VLOOKUP($A11,Alimentos!$A:$BA,23,FALSE)</f>
        <v>0</v>
      </c>
      <c r="X11" s="112">
        <f>VLOOKUP($A11,Alimentos!$A:$BA,24,FALSE)</f>
        <v>0</v>
      </c>
      <c r="Y11" s="112">
        <f>VLOOKUP($A11,Alimentos!$A:$BA,25,FALSE)</f>
        <v>0</v>
      </c>
      <c r="Z11" s="112">
        <f>VLOOKUP($A11,Alimentos!$A:$BA,26,FALSE)</f>
        <v>0</v>
      </c>
      <c r="AA11" s="112">
        <f>VLOOKUP($A11,Alimentos!$A:$BA,27,FALSE)</f>
        <v>0</v>
      </c>
      <c r="AB11" s="112">
        <f>VLOOKUP($A11,Alimentos!$A:$BA,28,FALSE)</f>
        <v>0</v>
      </c>
      <c r="AC11" s="112">
        <f>VLOOKUP($A11,Alimentos!$A:$BA,29,FALSE)</f>
        <v>0</v>
      </c>
      <c r="AD11" s="112">
        <f>VLOOKUP($A11,Alimentos!$A:$BA,30,FALSE)</f>
        <v>0</v>
      </c>
      <c r="AE11" s="112">
        <f>VLOOKUP($A11,Alimentos!$A:$BA,31,FALSE)</f>
        <v>0</v>
      </c>
      <c r="AF11" s="113">
        <f>VLOOKUP($A11,Alimentos!$A:$BA,32,FALSE)</f>
        <v>0</v>
      </c>
      <c r="AG11" s="113">
        <f>VLOOKUP($A11,Alimentos!$A:$BA,33,FALSE)</f>
        <v>0</v>
      </c>
      <c r="AH11" s="113">
        <f>VLOOKUP($A11,Alimentos!$A:$BA,34,FALSE)</f>
        <v>0</v>
      </c>
      <c r="AI11" s="113">
        <f>VLOOKUP($A11,Alimentos!$A:$BA,35,FALSE)</f>
        <v>0</v>
      </c>
      <c r="AJ11" s="113">
        <f>VLOOKUP($A11,Alimentos!$A:$BA,36,FALSE)</f>
        <v>0</v>
      </c>
      <c r="AK11" s="113">
        <f>VLOOKUP($A11,Alimentos!$A:$BA,37,FALSE)</f>
        <v>0</v>
      </c>
      <c r="AL11" s="113">
        <f>VLOOKUP($A11,Alimentos!$A:$BA,38,FALSE)</f>
        <v>0</v>
      </c>
      <c r="AM11" s="113">
        <f>VLOOKUP($A11,Alimentos!$A:$BA,39,FALSE)</f>
        <v>0</v>
      </c>
      <c r="AN11" s="113">
        <f>VLOOKUP($A11,Alimentos!$A:$BA,40,FALSE)</f>
        <v>0</v>
      </c>
      <c r="AO11" s="113">
        <f>VLOOKUP($A11,Alimentos!$A:$BA,41,FALSE)</f>
        <v>0</v>
      </c>
      <c r="AP11" s="113">
        <f>VLOOKUP($A11,Alimentos!$A:$BA,42,FALSE)</f>
        <v>0</v>
      </c>
      <c r="AQ11" s="113">
        <f>VLOOKUP($A11,Alimentos!$A:$BA,43,FALSE)</f>
        <v>0</v>
      </c>
      <c r="AR11" s="113">
        <f>VLOOKUP($A11,Alimentos!$A:$BA,44,FALSE)</f>
        <v>0</v>
      </c>
      <c r="AS11" s="113">
        <f>VLOOKUP($A11,Alimentos!$A:$BA,45,FALSE)</f>
        <v>0</v>
      </c>
    </row>
    <row r="12" spans="1:47" x14ac:dyDescent="0.25">
      <c r="A12" s="108" t="s">
        <v>60</v>
      </c>
      <c r="B12" s="109">
        <f>VLOOKUP($A12,Alimentos!$A:$BA,2,FALSE)</f>
        <v>0</v>
      </c>
      <c r="C12" s="114">
        <f>VLOOKUP($A12,Alimentos!$A:$BA,4,FALSE)</f>
        <v>0</v>
      </c>
      <c r="E12" s="111">
        <f>VLOOKUP($A12,Alimentos!$A:$BA,5,FALSE)</f>
        <v>0</v>
      </c>
      <c r="F12" s="111">
        <f>VLOOKUP($A12,Alimentos!$A:$BA,6,FALSE)</f>
        <v>0</v>
      </c>
      <c r="G12" s="111">
        <f>VLOOKUP($A12,Alimentos!$A:$BA,7,FALSE)</f>
        <v>0</v>
      </c>
      <c r="H12" s="111">
        <f>VLOOKUP($A12,Alimentos!$A:$BA,8,FALSE)</f>
        <v>0</v>
      </c>
      <c r="I12" s="111">
        <f>VLOOKUP($A12,Alimentos!$A:$BA,9,FALSE)</f>
        <v>0</v>
      </c>
      <c r="J12" s="111">
        <f>VLOOKUP($A12,Alimentos!$A:$BA,10,FALSE)</f>
        <v>0</v>
      </c>
      <c r="K12" s="111">
        <f>VLOOKUP($A12,Alimentos!$A:$BA,11,FALSE)</f>
        <v>0</v>
      </c>
      <c r="L12" s="111">
        <f>VLOOKUP($A12,Alimentos!$A:$BA,12,FALSE)</f>
        <v>0</v>
      </c>
      <c r="M12" s="111">
        <f>VLOOKUP($A12,Alimentos!$A:$BA,13,FALSE)</f>
        <v>0</v>
      </c>
      <c r="N12" s="111">
        <f>VLOOKUP($A12,Alimentos!$A:$BA,14,FALSE)</f>
        <v>0</v>
      </c>
      <c r="O12" s="90">
        <f>VLOOKUP($A12,Alimentos!$A:$BA,15,FALSE)</f>
        <v>0</v>
      </c>
      <c r="P12" s="111">
        <f>VLOOKUP($A12,Alimentos!$A:$BA,16,FALSE)</f>
        <v>0</v>
      </c>
      <c r="Q12" s="111">
        <f>VLOOKUP($A12,Alimentos!$A:$BA,17,FALSE)</f>
        <v>0</v>
      </c>
      <c r="R12" s="111">
        <f>VLOOKUP($A12,Alimentos!$A:$BA,18,FALSE)</f>
        <v>0</v>
      </c>
      <c r="S12" s="111">
        <f>VLOOKUP($A12,Alimentos!$A:$BA,19,FALSE)</f>
        <v>0</v>
      </c>
      <c r="T12" s="111">
        <f>VLOOKUP($A12,Alimentos!$A:$BA,20,FALSE)</f>
        <v>0</v>
      </c>
      <c r="U12" s="111">
        <f>VLOOKUP($A12,Alimentos!$A:$BA,21,FALSE)</f>
        <v>0</v>
      </c>
      <c r="V12" s="111">
        <f>VLOOKUP($A12,Alimentos!$A:$BA,22,FALSE)</f>
        <v>0</v>
      </c>
      <c r="W12" s="112">
        <f>VLOOKUP($A12,Alimentos!$A:$BA,23,FALSE)</f>
        <v>0</v>
      </c>
      <c r="X12" s="112">
        <f>VLOOKUP($A12,Alimentos!$A:$BA,24,FALSE)</f>
        <v>0</v>
      </c>
      <c r="Y12" s="112">
        <f>VLOOKUP($A12,Alimentos!$A:$BA,25,FALSE)</f>
        <v>0</v>
      </c>
      <c r="Z12" s="112">
        <f>VLOOKUP($A12,Alimentos!$A:$BA,26,FALSE)</f>
        <v>0</v>
      </c>
      <c r="AA12" s="112">
        <f>VLOOKUP($A12,Alimentos!$A:$BA,27,FALSE)</f>
        <v>0</v>
      </c>
      <c r="AB12" s="112">
        <f>VLOOKUP($A12,Alimentos!$A:$BA,28,FALSE)</f>
        <v>0</v>
      </c>
      <c r="AC12" s="112">
        <f>VLOOKUP($A12,Alimentos!$A:$BA,29,FALSE)</f>
        <v>0</v>
      </c>
      <c r="AD12" s="112">
        <f>VLOOKUP($A12,Alimentos!$A:$BA,30,FALSE)</f>
        <v>0</v>
      </c>
      <c r="AE12" s="112">
        <f>VLOOKUP($A12,Alimentos!$A:$BA,31,FALSE)</f>
        <v>0</v>
      </c>
      <c r="AF12" s="113">
        <f>VLOOKUP($A12,Alimentos!$A:$BA,32,FALSE)</f>
        <v>0</v>
      </c>
      <c r="AG12" s="113">
        <f>VLOOKUP($A12,Alimentos!$A:$BA,33,FALSE)</f>
        <v>0</v>
      </c>
      <c r="AH12" s="113">
        <f>VLOOKUP($A12,Alimentos!$A:$BA,34,FALSE)</f>
        <v>0</v>
      </c>
      <c r="AI12" s="113">
        <f>VLOOKUP($A12,Alimentos!$A:$BA,35,FALSE)</f>
        <v>0</v>
      </c>
      <c r="AJ12" s="113">
        <f>VLOOKUP($A12,Alimentos!$A:$BA,36,FALSE)</f>
        <v>0</v>
      </c>
      <c r="AK12" s="113">
        <f>VLOOKUP($A12,Alimentos!$A:$BA,37,FALSE)</f>
        <v>0</v>
      </c>
      <c r="AL12" s="113">
        <f>VLOOKUP($A12,Alimentos!$A:$BA,38,FALSE)</f>
        <v>0</v>
      </c>
      <c r="AM12" s="113">
        <f>VLOOKUP($A12,Alimentos!$A:$BA,39,FALSE)</f>
        <v>0</v>
      </c>
      <c r="AN12" s="113">
        <f>VLOOKUP($A12,Alimentos!$A:$BA,40,FALSE)</f>
        <v>0</v>
      </c>
      <c r="AO12" s="113">
        <f>VLOOKUP($A12,Alimentos!$A:$BA,41,FALSE)</f>
        <v>0</v>
      </c>
      <c r="AP12" s="113">
        <f>VLOOKUP($A12,Alimentos!$A:$BA,42,FALSE)</f>
        <v>0</v>
      </c>
      <c r="AQ12" s="113">
        <f>VLOOKUP($A12,Alimentos!$A:$BA,43,FALSE)</f>
        <v>0</v>
      </c>
      <c r="AR12" s="113">
        <f>VLOOKUP($A12,Alimentos!$A:$BA,44,FALSE)</f>
        <v>0</v>
      </c>
      <c r="AS12" s="113">
        <f>VLOOKUP($A12,Alimentos!$A:$BA,45,FALSE)</f>
        <v>0</v>
      </c>
    </row>
    <row r="13" spans="1:47" x14ac:dyDescent="0.25">
      <c r="A13" s="108" t="s">
        <v>60</v>
      </c>
      <c r="B13" s="109">
        <f>VLOOKUP($A13,Alimentos!$A:$BA,2,FALSE)</f>
        <v>0</v>
      </c>
      <c r="C13" s="114">
        <f>VLOOKUP($A13,Alimentos!$A:$BA,4,FALSE)</f>
        <v>0</v>
      </c>
      <c r="E13" s="111">
        <f>VLOOKUP($A13,Alimentos!$A:$BA,5,FALSE)</f>
        <v>0</v>
      </c>
      <c r="F13" s="111">
        <f>VLOOKUP($A13,Alimentos!$A:$BA,6,FALSE)</f>
        <v>0</v>
      </c>
      <c r="G13" s="111">
        <f>VLOOKUP($A13,Alimentos!$A:$BA,7,FALSE)</f>
        <v>0</v>
      </c>
      <c r="H13" s="111">
        <f>VLOOKUP($A13,Alimentos!$A:$BA,8,FALSE)</f>
        <v>0</v>
      </c>
      <c r="I13" s="111">
        <f>VLOOKUP($A13,Alimentos!$A:$BA,9,FALSE)</f>
        <v>0</v>
      </c>
      <c r="J13" s="111">
        <f>VLOOKUP($A13,Alimentos!$A:$BA,10,FALSE)</f>
        <v>0</v>
      </c>
      <c r="K13" s="111">
        <f>VLOOKUP($A13,Alimentos!$A:$BA,11,FALSE)</f>
        <v>0</v>
      </c>
      <c r="L13" s="111">
        <f>VLOOKUP($A13,Alimentos!$A:$BA,12,FALSE)</f>
        <v>0</v>
      </c>
      <c r="M13" s="111">
        <f>VLOOKUP($A13,Alimentos!$A:$BA,13,FALSE)</f>
        <v>0</v>
      </c>
      <c r="N13" s="111">
        <f>VLOOKUP($A13,Alimentos!$A:$BA,14,FALSE)</f>
        <v>0</v>
      </c>
      <c r="O13" s="90">
        <f>VLOOKUP($A13,Alimentos!$A:$BA,15,FALSE)</f>
        <v>0</v>
      </c>
      <c r="P13" s="111">
        <f>VLOOKUP($A13,Alimentos!$A:$BA,16,FALSE)</f>
        <v>0</v>
      </c>
      <c r="Q13" s="111">
        <f>VLOOKUP($A13,Alimentos!$A:$BA,17,FALSE)</f>
        <v>0</v>
      </c>
      <c r="R13" s="111">
        <f>VLOOKUP($A13,Alimentos!$A:$BA,18,FALSE)</f>
        <v>0</v>
      </c>
      <c r="S13" s="111">
        <f>VLOOKUP($A13,Alimentos!$A:$BA,19,FALSE)</f>
        <v>0</v>
      </c>
      <c r="T13" s="111">
        <f>VLOOKUP($A13,Alimentos!$A:$BA,20,FALSE)</f>
        <v>0</v>
      </c>
      <c r="U13" s="111">
        <f>VLOOKUP($A13,Alimentos!$A:$BA,21,FALSE)</f>
        <v>0</v>
      </c>
      <c r="V13" s="111">
        <f>VLOOKUP($A13,Alimentos!$A:$BA,22,FALSE)</f>
        <v>0</v>
      </c>
      <c r="W13" s="112">
        <f>VLOOKUP($A13,Alimentos!$A:$BA,23,FALSE)</f>
        <v>0</v>
      </c>
      <c r="X13" s="112">
        <f>VLOOKUP($A13,Alimentos!$A:$BA,24,FALSE)</f>
        <v>0</v>
      </c>
      <c r="Y13" s="112">
        <f>VLOOKUP($A13,Alimentos!$A:$BA,25,FALSE)</f>
        <v>0</v>
      </c>
      <c r="Z13" s="112">
        <f>VLOOKUP($A13,Alimentos!$A:$BA,26,FALSE)</f>
        <v>0</v>
      </c>
      <c r="AA13" s="112">
        <f>VLOOKUP($A13,Alimentos!$A:$BA,27,FALSE)</f>
        <v>0</v>
      </c>
      <c r="AB13" s="112">
        <f>VLOOKUP($A13,Alimentos!$A:$BA,28,FALSE)</f>
        <v>0</v>
      </c>
      <c r="AC13" s="112">
        <f>VLOOKUP($A13,Alimentos!$A:$BA,29,FALSE)</f>
        <v>0</v>
      </c>
      <c r="AD13" s="112">
        <f>VLOOKUP($A13,Alimentos!$A:$BA,30,FALSE)</f>
        <v>0</v>
      </c>
      <c r="AE13" s="112">
        <f>VLOOKUP($A13,Alimentos!$A:$BA,31,FALSE)</f>
        <v>0</v>
      </c>
      <c r="AF13" s="113">
        <f>VLOOKUP($A13,Alimentos!$A:$BA,32,FALSE)</f>
        <v>0</v>
      </c>
      <c r="AG13" s="113">
        <f>VLOOKUP($A13,Alimentos!$A:$BA,33,FALSE)</f>
        <v>0</v>
      </c>
      <c r="AH13" s="113">
        <f>VLOOKUP($A13,Alimentos!$A:$BA,34,FALSE)</f>
        <v>0</v>
      </c>
      <c r="AI13" s="113">
        <f>VLOOKUP($A13,Alimentos!$A:$BA,35,FALSE)</f>
        <v>0</v>
      </c>
      <c r="AJ13" s="113">
        <f>VLOOKUP($A13,Alimentos!$A:$BA,36,FALSE)</f>
        <v>0</v>
      </c>
      <c r="AK13" s="113">
        <f>VLOOKUP($A13,Alimentos!$A:$BA,37,FALSE)</f>
        <v>0</v>
      </c>
      <c r="AL13" s="113">
        <f>VLOOKUP($A13,Alimentos!$A:$BA,38,FALSE)</f>
        <v>0</v>
      </c>
      <c r="AM13" s="115">
        <f>VLOOKUP($A13,Alimentos!$A:$BA,39,FALSE)</f>
        <v>0</v>
      </c>
      <c r="AN13" s="115">
        <f>VLOOKUP($A13,Alimentos!$A:$BA,40,FALSE)</f>
        <v>0</v>
      </c>
      <c r="AO13" s="115">
        <f>VLOOKUP($A13,Alimentos!$A:$BA,41,FALSE)</f>
        <v>0</v>
      </c>
      <c r="AP13" s="113">
        <f>VLOOKUP($A13,Alimentos!$A:$BA,42,FALSE)</f>
        <v>0</v>
      </c>
      <c r="AQ13" s="113">
        <f>VLOOKUP($A13,Alimentos!$A:$BA,43,FALSE)</f>
        <v>0</v>
      </c>
      <c r="AR13" s="113">
        <f>VLOOKUP($A13,Alimentos!$A:$BA,44,FALSE)</f>
        <v>0</v>
      </c>
      <c r="AS13" s="113">
        <f>VLOOKUP($A13,Alimentos!$A:$BA,45,FALSE)</f>
        <v>0</v>
      </c>
    </row>
    <row r="14" spans="1:47" x14ac:dyDescent="0.25">
      <c r="A14" s="108" t="s">
        <v>60</v>
      </c>
      <c r="B14" s="109">
        <f>VLOOKUP($A14,Alimentos!$A:$BA,2,FALSE)</f>
        <v>0</v>
      </c>
      <c r="C14" s="114">
        <f>VLOOKUP($A14,Alimentos!$A:$BA,4,FALSE)</f>
        <v>0</v>
      </c>
      <c r="E14" s="111">
        <f>VLOOKUP($A14,Alimentos!$A:$BA,5,FALSE)</f>
        <v>0</v>
      </c>
      <c r="F14" s="111">
        <f>VLOOKUP($A14,Alimentos!$A:$BA,6,FALSE)</f>
        <v>0</v>
      </c>
      <c r="G14" s="111">
        <f>VLOOKUP($A14,Alimentos!$A:$BA,7,FALSE)</f>
        <v>0</v>
      </c>
      <c r="H14" s="111">
        <f>VLOOKUP($A14,Alimentos!$A:$BA,8,FALSE)</f>
        <v>0</v>
      </c>
      <c r="I14" s="111">
        <f>VLOOKUP($A14,Alimentos!$A:$BA,9,FALSE)</f>
        <v>0</v>
      </c>
      <c r="J14" s="111">
        <f>VLOOKUP($A14,Alimentos!$A:$BA,10,FALSE)</f>
        <v>0</v>
      </c>
      <c r="K14" s="111">
        <f>VLOOKUP($A14,Alimentos!$A:$BA,11,FALSE)</f>
        <v>0</v>
      </c>
      <c r="L14" s="111">
        <f>VLOOKUP($A14,Alimentos!$A:$BA,12,FALSE)</f>
        <v>0</v>
      </c>
      <c r="M14" s="111">
        <f>VLOOKUP($A14,Alimentos!$A:$BA,13,FALSE)</f>
        <v>0</v>
      </c>
      <c r="N14" s="111">
        <f>VLOOKUP($A14,Alimentos!$A:$BA,14,FALSE)</f>
        <v>0</v>
      </c>
      <c r="O14" s="90">
        <f>VLOOKUP($A14,Alimentos!$A:$BA,15,FALSE)</f>
        <v>0</v>
      </c>
      <c r="P14" s="111">
        <f>VLOOKUP($A14,Alimentos!$A:$BA,16,FALSE)</f>
        <v>0</v>
      </c>
      <c r="Q14" s="111">
        <f>VLOOKUP($A14,Alimentos!$A:$BA,17,FALSE)</f>
        <v>0</v>
      </c>
      <c r="R14" s="111">
        <f>VLOOKUP($A14,Alimentos!$A:$BA,18,FALSE)</f>
        <v>0</v>
      </c>
      <c r="S14" s="111">
        <f>VLOOKUP($A14,Alimentos!$A:$BA,19,FALSE)</f>
        <v>0</v>
      </c>
      <c r="T14" s="111">
        <f>VLOOKUP($A14,Alimentos!$A:$BA,20,FALSE)</f>
        <v>0</v>
      </c>
      <c r="U14" s="111">
        <f>VLOOKUP($A14,Alimentos!$A:$BA,21,FALSE)</f>
        <v>0</v>
      </c>
      <c r="V14" s="111">
        <f>VLOOKUP($A14,Alimentos!$A:$BA,22,FALSE)</f>
        <v>0</v>
      </c>
      <c r="W14" s="112">
        <f>VLOOKUP($A14,Alimentos!$A:$BA,23,FALSE)</f>
        <v>0</v>
      </c>
      <c r="X14" s="112">
        <f>VLOOKUP($A14,Alimentos!$A:$BA,24,FALSE)</f>
        <v>0</v>
      </c>
      <c r="Y14" s="112">
        <f>VLOOKUP($A14,Alimentos!$A:$BA,25,FALSE)</f>
        <v>0</v>
      </c>
      <c r="Z14" s="112">
        <f>VLOOKUP($A14,Alimentos!$A:$BA,26,FALSE)</f>
        <v>0</v>
      </c>
      <c r="AA14" s="112">
        <f>VLOOKUP($A14,Alimentos!$A:$BA,27,FALSE)</f>
        <v>0</v>
      </c>
      <c r="AB14" s="112">
        <f>VLOOKUP($A14,Alimentos!$A:$BA,28,FALSE)</f>
        <v>0</v>
      </c>
      <c r="AC14" s="112">
        <f>VLOOKUP($A14,Alimentos!$A:$BA,29,FALSE)</f>
        <v>0</v>
      </c>
      <c r="AD14" s="112">
        <f>VLOOKUP($A14,Alimentos!$A:$BA,30,FALSE)</f>
        <v>0</v>
      </c>
      <c r="AE14" s="112">
        <f>VLOOKUP($A14,Alimentos!$A:$BA,31,FALSE)</f>
        <v>0</v>
      </c>
      <c r="AF14" s="113">
        <f>VLOOKUP($A14,Alimentos!$A:$BA,32,FALSE)</f>
        <v>0</v>
      </c>
      <c r="AG14" s="113">
        <f>VLOOKUP($A14,Alimentos!$A:$BA,33,FALSE)</f>
        <v>0</v>
      </c>
      <c r="AH14" s="113">
        <f>VLOOKUP($A14,Alimentos!$A:$BA,34,FALSE)</f>
        <v>0</v>
      </c>
      <c r="AI14" s="113">
        <f>VLOOKUP($A14,Alimentos!$A:$BA,35,FALSE)</f>
        <v>0</v>
      </c>
      <c r="AJ14" s="113">
        <f>VLOOKUP($A14,Alimentos!$A:$BA,36,FALSE)</f>
        <v>0</v>
      </c>
      <c r="AK14" s="113">
        <f>VLOOKUP($A14,Alimentos!$A:$BA,37,FALSE)</f>
        <v>0</v>
      </c>
      <c r="AL14" s="113">
        <f>VLOOKUP($A14,Alimentos!$A:$BA,38,FALSE)</f>
        <v>0</v>
      </c>
      <c r="AM14" s="113">
        <f>VLOOKUP($A14,Alimentos!$A:$BA,39,FALSE)</f>
        <v>0</v>
      </c>
      <c r="AN14" s="113">
        <f>VLOOKUP($A14,Alimentos!$A:$BA,40,FALSE)</f>
        <v>0</v>
      </c>
      <c r="AO14" s="113">
        <f>VLOOKUP($A14,Alimentos!$A:$BA,41,FALSE)</f>
        <v>0</v>
      </c>
      <c r="AP14" s="113">
        <f>VLOOKUP($A14,Alimentos!$A:$BA,42,FALSE)</f>
        <v>0</v>
      </c>
      <c r="AQ14" s="113">
        <f>VLOOKUP($A14,Alimentos!$A:$BA,43,FALSE)</f>
        <v>0</v>
      </c>
      <c r="AR14" s="113">
        <f>VLOOKUP($A14,Alimentos!$A:$BA,44,FALSE)</f>
        <v>0</v>
      </c>
      <c r="AS14" s="113">
        <f>VLOOKUP($A14,Alimentos!$A:$BA,45,FALSE)</f>
        <v>0</v>
      </c>
    </row>
    <row r="15" spans="1:47" x14ac:dyDescent="0.25">
      <c r="A15" s="108" t="s">
        <v>60</v>
      </c>
      <c r="B15" s="109">
        <f>VLOOKUP($A15,Alimentos!$A:$BA,2,FALSE)</f>
        <v>0</v>
      </c>
      <c r="C15" s="114">
        <f>VLOOKUP($A15,Alimentos!$A:$BA,4,FALSE)</f>
        <v>0</v>
      </c>
      <c r="E15" s="111">
        <f>VLOOKUP($A15,Alimentos!$A:$BA,5,FALSE)</f>
        <v>0</v>
      </c>
      <c r="F15" s="111">
        <f>VLOOKUP($A15,Alimentos!$A:$BA,6,FALSE)</f>
        <v>0</v>
      </c>
      <c r="G15" s="111">
        <f>VLOOKUP($A15,Alimentos!$A:$BA,7,FALSE)</f>
        <v>0</v>
      </c>
      <c r="H15" s="111">
        <f>VLOOKUP($A15,Alimentos!$A:$BA,8,FALSE)</f>
        <v>0</v>
      </c>
      <c r="I15" s="111">
        <f>VLOOKUP($A15,Alimentos!$A:$BA,9,FALSE)</f>
        <v>0</v>
      </c>
      <c r="J15" s="111">
        <f>VLOOKUP($A15,Alimentos!$A:$BA,10,FALSE)</f>
        <v>0</v>
      </c>
      <c r="K15" s="111">
        <f>VLOOKUP($A15,Alimentos!$A:$BA,11,FALSE)</f>
        <v>0</v>
      </c>
      <c r="L15" s="111">
        <f>VLOOKUP($A15,Alimentos!$A:$BA,12,FALSE)</f>
        <v>0</v>
      </c>
      <c r="M15" s="111">
        <f>VLOOKUP($A15,Alimentos!$A:$BA,13,FALSE)</f>
        <v>0</v>
      </c>
      <c r="N15" s="111">
        <f>VLOOKUP($A15,Alimentos!$A:$BA,14,FALSE)</f>
        <v>0</v>
      </c>
      <c r="O15" s="90">
        <f>VLOOKUP($A15,Alimentos!$A:$BA,15,FALSE)</f>
        <v>0</v>
      </c>
      <c r="P15" s="111">
        <f>VLOOKUP($A15,Alimentos!$A:$BA,16,FALSE)</f>
        <v>0</v>
      </c>
      <c r="Q15" s="111">
        <f>VLOOKUP($A15,Alimentos!$A:$BA,17,FALSE)</f>
        <v>0</v>
      </c>
      <c r="R15" s="111">
        <f>VLOOKUP($A15,Alimentos!$A:$BA,18,FALSE)</f>
        <v>0</v>
      </c>
      <c r="S15" s="111">
        <f>VLOOKUP($A15,Alimentos!$A:$BA,19,FALSE)</f>
        <v>0</v>
      </c>
      <c r="T15" s="111">
        <f>VLOOKUP($A15,Alimentos!$A:$BA,20,FALSE)</f>
        <v>0</v>
      </c>
      <c r="U15" s="111">
        <f>VLOOKUP($A15,Alimentos!$A:$BA,21,FALSE)</f>
        <v>0</v>
      </c>
      <c r="V15" s="111">
        <f>VLOOKUP($A15,Alimentos!$A:$BA,22,FALSE)</f>
        <v>0</v>
      </c>
      <c r="W15" s="112">
        <f>VLOOKUP($A15,Alimentos!$A:$BA,23,FALSE)</f>
        <v>0</v>
      </c>
      <c r="X15" s="112">
        <f>VLOOKUP($A15,Alimentos!$A:$BA,24,FALSE)</f>
        <v>0</v>
      </c>
      <c r="Y15" s="112">
        <f>VLOOKUP($A15,Alimentos!$A:$BA,25,FALSE)</f>
        <v>0</v>
      </c>
      <c r="Z15" s="112">
        <f>VLOOKUP($A15,Alimentos!$A:$BA,26,FALSE)</f>
        <v>0</v>
      </c>
      <c r="AA15" s="112">
        <f>VLOOKUP($A15,Alimentos!$A:$BA,27,FALSE)</f>
        <v>0</v>
      </c>
      <c r="AB15" s="112">
        <f>VLOOKUP($A15,Alimentos!$A:$BA,28,FALSE)</f>
        <v>0</v>
      </c>
      <c r="AC15" s="112">
        <f>VLOOKUP($A15,Alimentos!$A:$BA,29,FALSE)</f>
        <v>0</v>
      </c>
      <c r="AD15" s="112">
        <f>VLOOKUP($A15,Alimentos!$A:$BA,30,FALSE)</f>
        <v>0</v>
      </c>
      <c r="AE15" s="112">
        <f>VLOOKUP($A15,Alimentos!$A:$BA,31,FALSE)</f>
        <v>0</v>
      </c>
      <c r="AF15" s="113">
        <f>VLOOKUP($A15,Alimentos!$A:$BA,32,FALSE)</f>
        <v>0</v>
      </c>
      <c r="AG15" s="113">
        <f>VLOOKUP($A15,Alimentos!$A:$BA,33,FALSE)</f>
        <v>0</v>
      </c>
      <c r="AH15" s="113">
        <f>VLOOKUP($A15,Alimentos!$A:$BA,34,FALSE)</f>
        <v>0</v>
      </c>
      <c r="AI15" s="113">
        <f>VLOOKUP($A15,Alimentos!$A:$BA,35,FALSE)</f>
        <v>0</v>
      </c>
      <c r="AJ15" s="113">
        <f>VLOOKUP($A15,Alimentos!$A:$BA,36,FALSE)</f>
        <v>0</v>
      </c>
      <c r="AK15" s="113">
        <f>VLOOKUP($A15,Alimentos!$A:$BA,37,FALSE)</f>
        <v>0</v>
      </c>
      <c r="AL15" s="113">
        <f>VLOOKUP($A15,Alimentos!$A:$BA,38,FALSE)</f>
        <v>0</v>
      </c>
      <c r="AM15" s="113">
        <f>VLOOKUP($A15,Alimentos!$A:$BA,39,FALSE)</f>
        <v>0</v>
      </c>
      <c r="AN15" s="113">
        <f>VLOOKUP($A15,Alimentos!$A:$BA,40,FALSE)</f>
        <v>0</v>
      </c>
      <c r="AO15" s="113">
        <f>VLOOKUP($A15,Alimentos!$A:$BA,41,FALSE)</f>
        <v>0</v>
      </c>
      <c r="AP15" s="113">
        <f>VLOOKUP($A15,Alimentos!$A:$BA,42,FALSE)</f>
        <v>0</v>
      </c>
      <c r="AQ15" s="113">
        <f>VLOOKUP($A15,Alimentos!$A:$BA,43,FALSE)</f>
        <v>0</v>
      </c>
      <c r="AR15" s="113">
        <f>VLOOKUP($A15,Alimentos!$A:$BA,44,FALSE)</f>
        <v>0</v>
      </c>
      <c r="AS15" s="113">
        <f>VLOOKUP($A15,Alimentos!$A:$BA,45,FALSE)</f>
        <v>0</v>
      </c>
    </row>
    <row r="16" spans="1:47" x14ac:dyDescent="0.25">
      <c r="A16" s="108" t="s">
        <v>60</v>
      </c>
      <c r="B16" s="109">
        <f>VLOOKUP($A16,Alimentos!$A:$BA,2,FALSE)</f>
        <v>0</v>
      </c>
      <c r="C16" s="114">
        <f>VLOOKUP($A16,Alimentos!$A:$BA,4,FALSE)</f>
        <v>0</v>
      </c>
      <c r="E16" s="111">
        <f>VLOOKUP($A16,Alimentos!$A:$BA,5,FALSE)</f>
        <v>0</v>
      </c>
      <c r="F16" s="111">
        <f>VLOOKUP($A16,Alimentos!$A:$BA,6,FALSE)</f>
        <v>0</v>
      </c>
      <c r="G16" s="111">
        <f>VLOOKUP($A16,Alimentos!$A:$BA,7,FALSE)</f>
        <v>0</v>
      </c>
      <c r="H16" s="111">
        <f>VLOOKUP($A16,Alimentos!$A:$BA,8,FALSE)</f>
        <v>0</v>
      </c>
      <c r="I16" s="111">
        <f>VLOOKUP($A16,Alimentos!$A:$BA,9,FALSE)</f>
        <v>0</v>
      </c>
      <c r="J16" s="111">
        <f>VLOOKUP($A16,Alimentos!$A:$BA,10,FALSE)</f>
        <v>0</v>
      </c>
      <c r="K16" s="111">
        <f>VLOOKUP($A16,Alimentos!$A:$BA,11,FALSE)</f>
        <v>0</v>
      </c>
      <c r="L16" s="111">
        <f>VLOOKUP($A16,Alimentos!$A:$BA,12,FALSE)</f>
        <v>0</v>
      </c>
      <c r="M16" s="111">
        <f>VLOOKUP($A16,Alimentos!$A:$BA,13,FALSE)</f>
        <v>0</v>
      </c>
      <c r="N16" s="111">
        <f>VLOOKUP($A16,Alimentos!$A:$BA,14,FALSE)</f>
        <v>0</v>
      </c>
      <c r="O16" s="90">
        <f>VLOOKUP($A16,Alimentos!$A:$BA,15,FALSE)</f>
        <v>0</v>
      </c>
      <c r="P16" s="111">
        <f>VLOOKUP($A16,Alimentos!$A:$BA,16,FALSE)</f>
        <v>0</v>
      </c>
      <c r="Q16" s="111">
        <f>VLOOKUP($A16,Alimentos!$A:$BA,17,FALSE)</f>
        <v>0</v>
      </c>
      <c r="R16" s="111">
        <f>VLOOKUP($A16,Alimentos!$A:$BA,18,FALSE)</f>
        <v>0</v>
      </c>
      <c r="S16" s="111">
        <f>VLOOKUP($A16,Alimentos!$A:$BA,19,FALSE)</f>
        <v>0</v>
      </c>
      <c r="T16" s="111">
        <f>VLOOKUP($A16,Alimentos!$A:$BA,20,FALSE)</f>
        <v>0</v>
      </c>
      <c r="U16" s="111">
        <f>VLOOKUP($A16,Alimentos!$A:$BA,21,FALSE)</f>
        <v>0</v>
      </c>
      <c r="V16" s="111">
        <f>VLOOKUP($A16,Alimentos!$A:$BA,22,FALSE)</f>
        <v>0</v>
      </c>
      <c r="W16" s="112">
        <f>VLOOKUP($A16,Alimentos!$A:$BA,23,FALSE)</f>
        <v>0</v>
      </c>
      <c r="X16" s="112">
        <f>VLOOKUP($A16,Alimentos!$A:$BA,24,FALSE)</f>
        <v>0</v>
      </c>
      <c r="Y16" s="112">
        <f>VLOOKUP($A16,Alimentos!$A:$BA,25,FALSE)</f>
        <v>0</v>
      </c>
      <c r="Z16" s="112">
        <f>VLOOKUP($A16,Alimentos!$A:$BA,26,FALSE)</f>
        <v>0</v>
      </c>
      <c r="AA16" s="112">
        <f>VLOOKUP($A16,Alimentos!$A:$BA,27,FALSE)</f>
        <v>0</v>
      </c>
      <c r="AB16" s="112">
        <f>VLOOKUP($A16,Alimentos!$A:$BA,28,FALSE)</f>
        <v>0</v>
      </c>
      <c r="AC16" s="112">
        <f>VLOOKUP($A16,Alimentos!$A:$BA,29,FALSE)</f>
        <v>0</v>
      </c>
      <c r="AD16" s="112">
        <f>VLOOKUP($A16,Alimentos!$A:$BA,30,FALSE)</f>
        <v>0</v>
      </c>
      <c r="AE16" s="112">
        <f>VLOOKUP($A16,Alimentos!$A:$BA,31,FALSE)</f>
        <v>0</v>
      </c>
      <c r="AF16" s="113">
        <f>VLOOKUP($A16,Alimentos!$A:$BA,32,FALSE)</f>
        <v>0</v>
      </c>
      <c r="AG16" s="113">
        <f>VLOOKUP($A16,Alimentos!$A:$BA,33,FALSE)</f>
        <v>0</v>
      </c>
      <c r="AH16" s="113">
        <f>VLOOKUP($A16,Alimentos!$A:$BA,34,FALSE)</f>
        <v>0</v>
      </c>
      <c r="AI16" s="113">
        <f>VLOOKUP($A16,Alimentos!$A:$BA,35,FALSE)</f>
        <v>0</v>
      </c>
      <c r="AJ16" s="113">
        <f>VLOOKUP($A16,Alimentos!$A:$BA,36,FALSE)</f>
        <v>0</v>
      </c>
      <c r="AK16" s="113">
        <f>VLOOKUP($A16,Alimentos!$A:$BA,37,FALSE)</f>
        <v>0</v>
      </c>
      <c r="AL16" s="113">
        <f>VLOOKUP($A16,Alimentos!$A:$BA,38,FALSE)</f>
        <v>0</v>
      </c>
      <c r="AM16" s="113">
        <f>VLOOKUP($A16,Alimentos!$A:$BA,39,FALSE)</f>
        <v>0</v>
      </c>
      <c r="AN16" s="113">
        <f>VLOOKUP($A16,Alimentos!$A:$BA,40,FALSE)</f>
        <v>0</v>
      </c>
      <c r="AO16" s="113">
        <f>VLOOKUP($A16,Alimentos!$A:$BA,41,FALSE)</f>
        <v>0</v>
      </c>
      <c r="AP16" s="113">
        <f>VLOOKUP($A16,Alimentos!$A:$BA,42,FALSE)</f>
        <v>0</v>
      </c>
      <c r="AQ16" s="113">
        <f>VLOOKUP($A16,Alimentos!$A:$BA,43,FALSE)</f>
        <v>0</v>
      </c>
      <c r="AR16" s="113">
        <f>VLOOKUP($A16,Alimentos!$A:$BA,44,FALSE)</f>
        <v>0</v>
      </c>
      <c r="AS16" s="113">
        <f>VLOOKUP($A16,Alimentos!$A:$BA,45,FALSE)</f>
        <v>0</v>
      </c>
    </row>
    <row r="17" spans="1:48" x14ac:dyDescent="0.25">
      <c r="A17" s="108" t="s">
        <v>60</v>
      </c>
      <c r="B17" s="109">
        <f>VLOOKUP($A17,Alimentos!$A:$BA,2,FALSE)</f>
        <v>0</v>
      </c>
      <c r="C17" s="114">
        <f>VLOOKUP($A17,Alimentos!$A:$BA,4,FALSE)</f>
        <v>0</v>
      </c>
      <c r="E17" s="111">
        <f>VLOOKUP($A17,Alimentos!$A:$BA,5,FALSE)</f>
        <v>0</v>
      </c>
      <c r="F17" s="111">
        <f>VLOOKUP($A17,Alimentos!$A:$BA,6,FALSE)</f>
        <v>0</v>
      </c>
      <c r="G17" s="111">
        <f>VLOOKUP($A17,Alimentos!$A:$BA,7,FALSE)</f>
        <v>0</v>
      </c>
      <c r="H17" s="111">
        <f>VLOOKUP($A17,Alimentos!$A:$BA,8,FALSE)</f>
        <v>0</v>
      </c>
      <c r="I17" s="111">
        <f>VLOOKUP($A17,Alimentos!$A:$BA,9,FALSE)</f>
        <v>0</v>
      </c>
      <c r="J17" s="111">
        <f>VLOOKUP($A17,Alimentos!$A:$BA,10,FALSE)</f>
        <v>0</v>
      </c>
      <c r="K17" s="111">
        <f>VLOOKUP($A17,Alimentos!$A:$BA,11,FALSE)</f>
        <v>0</v>
      </c>
      <c r="L17" s="111">
        <f>VLOOKUP($A17,Alimentos!$A:$BA,12,FALSE)</f>
        <v>0</v>
      </c>
      <c r="M17" s="111">
        <f>VLOOKUP($A17,Alimentos!$A:$BA,13,FALSE)</f>
        <v>0</v>
      </c>
      <c r="N17" s="111">
        <f>VLOOKUP($A17,Alimentos!$A:$BA,14,FALSE)</f>
        <v>0</v>
      </c>
      <c r="O17" s="90">
        <f>VLOOKUP($A17,Alimentos!$A:$BA,15,FALSE)</f>
        <v>0</v>
      </c>
      <c r="P17" s="111">
        <f>VLOOKUP($A17,Alimentos!$A:$BA,16,FALSE)</f>
        <v>0</v>
      </c>
      <c r="Q17" s="111">
        <f>VLOOKUP($A17,Alimentos!$A:$BA,17,FALSE)</f>
        <v>0</v>
      </c>
      <c r="R17" s="111">
        <f>VLOOKUP($A17,Alimentos!$A:$BA,18,FALSE)</f>
        <v>0</v>
      </c>
      <c r="S17" s="111">
        <f>VLOOKUP($A17,Alimentos!$A:$BA,19,FALSE)</f>
        <v>0</v>
      </c>
      <c r="T17" s="111">
        <f>VLOOKUP($A17,Alimentos!$A:$BA,20,FALSE)</f>
        <v>0</v>
      </c>
      <c r="U17" s="111">
        <f>VLOOKUP($A17,Alimentos!$A:$BA,21,FALSE)</f>
        <v>0</v>
      </c>
      <c r="V17" s="111">
        <f>VLOOKUP($A17,Alimentos!$A:$BA,22,FALSE)</f>
        <v>0</v>
      </c>
      <c r="W17" s="112">
        <f>VLOOKUP($A17,Alimentos!$A:$BA,23,FALSE)</f>
        <v>0</v>
      </c>
      <c r="X17" s="112">
        <f>VLOOKUP($A17,Alimentos!$A:$BA,24,FALSE)</f>
        <v>0</v>
      </c>
      <c r="Y17" s="112">
        <f>VLOOKUP($A17,Alimentos!$A:$BA,25,FALSE)</f>
        <v>0</v>
      </c>
      <c r="Z17" s="112">
        <f>VLOOKUP($A17,Alimentos!$A:$BA,26,FALSE)</f>
        <v>0</v>
      </c>
      <c r="AA17" s="112">
        <f>VLOOKUP($A17,Alimentos!$A:$BA,27,FALSE)</f>
        <v>0</v>
      </c>
      <c r="AB17" s="112">
        <f>VLOOKUP($A17,Alimentos!$A:$BA,28,FALSE)</f>
        <v>0</v>
      </c>
      <c r="AC17" s="112">
        <f>VLOOKUP($A17,Alimentos!$A:$BA,29,FALSE)</f>
        <v>0</v>
      </c>
      <c r="AD17" s="112">
        <f>VLOOKUP($A17,Alimentos!$A:$BA,30,FALSE)</f>
        <v>0</v>
      </c>
      <c r="AE17" s="112">
        <f>VLOOKUP($A17,Alimentos!$A:$BA,31,FALSE)</f>
        <v>0</v>
      </c>
      <c r="AF17" s="113">
        <f>VLOOKUP($A17,Alimentos!$A:$BA,32,FALSE)</f>
        <v>0</v>
      </c>
      <c r="AG17" s="113">
        <f>VLOOKUP($A17,Alimentos!$A:$BA,33,FALSE)</f>
        <v>0</v>
      </c>
      <c r="AH17" s="113">
        <f>VLOOKUP($A17,Alimentos!$A:$BA,34,FALSE)</f>
        <v>0</v>
      </c>
      <c r="AI17" s="113">
        <f>VLOOKUP($A17,Alimentos!$A:$BA,35,FALSE)</f>
        <v>0</v>
      </c>
      <c r="AJ17" s="113">
        <f>VLOOKUP($A17,Alimentos!$A:$BA,36,FALSE)</f>
        <v>0</v>
      </c>
      <c r="AK17" s="113">
        <f>VLOOKUP($A17,Alimentos!$A:$BA,37,FALSE)</f>
        <v>0</v>
      </c>
      <c r="AL17" s="113">
        <f>VLOOKUP($A17,Alimentos!$A:$BA,38,FALSE)</f>
        <v>0</v>
      </c>
      <c r="AM17" s="113">
        <f>VLOOKUP($A17,Alimentos!$A:$BA,39,FALSE)</f>
        <v>0</v>
      </c>
      <c r="AN17" s="113">
        <f>VLOOKUP($A17,Alimentos!$A:$BA,40,FALSE)</f>
        <v>0</v>
      </c>
      <c r="AO17" s="113">
        <f>VLOOKUP($A17,Alimentos!$A:$BA,41,FALSE)</f>
        <v>0</v>
      </c>
      <c r="AP17" s="113">
        <f>VLOOKUP($A17,Alimentos!$A:$BA,42,FALSE)</f>
        <v>0</v>
      </c>
      <c r="AQ17" s="113">
        <f>VLOOKUP($A17,Alimentos!$A:$BA,43,FALSE)</f>
        <v>0</v>
      </c>
      <c r="AR17" s="113">
        <f>VLOOKUP($A17,Alimentos!$A:$BA,44,FALSE)</f>
        <v>0</v>
      </c>
      <c r="AS17" s="113">
        <f>VLOOKUP($A17,Alimentos!$A:$BA,45,FALSE)</f>
        <v>0</v>
      </c>
    </row>
    <row r="18" spans="1:48" x14ac:dyDescent="0.25">
      <c r="A18" s="108" t="s">
        <v>60</v>
      </c>
      <c r="B18" s="109">
        <f>VLOOKUP($A18,Alimentos!$A:$BA,2,FALSE)</f>
        <v>0</v>
      </c>
      <c r="C18" s="114">
        <f>VLOOKUP($A18,Alimentos!$A:$BA,4,FALSE)</f>
        <v>0</v>
      </c>
      <c r="E18" s="111">
        <f>VLOOKUP($A18,Alimentos!$A:$BA,5,FALSE)</f>
        <v>0</v>
      </c>
      <c r="F18" s="111">
        <f>VLOOKUP($A18,Alimentos!$A:$BA,6,FALSE)</f>
        <v>0</v>
      </c>
      <c r="G18" s="111">
        <f>VLOOKUP($A18,Alimentos!$A:$BA,7,FALSE)</f>
        <v>0</v>
      </c>
      <c r="H18" s="111">
        <f>VLOOKUP($A18,Alimentos!$A:$BA,8,FALSE)</f>
        <v>0</v>
      </c>
      <c r="I18" s="111">
        <f>VLOOKUP($A18,Alimentos!$A:$BA,9,FALSE)</f>
        <v>0</v>
      </c>
      <c r="J18" s="111">
        <f>VLOOKUP($A18,Alimentos!$A:$BA,10,FALSE)</f>
        <v>0</v>
      </c>
      <c r="K18" s="111">
        <f>VLOOKUP($A18,Alimentos!$A:$BA,11,FALSE)</f>
        <v>0</v>
      </c>
      <c r="L18" s="111">
        <f>VLOOKUP($A18,Alimentos!$A:$BA,12,FALSE)</f>
        <v>0</v>
      </c>
      <c r="M18" s="111">
        <f>VLOOKUP($A18,Alimentos!$A:$BA,13,FALSE)</f>
        <v>0</v>
      </c>
      <c r="N18" s="111">
        <f>VLOOKUP($A18,Alimentos!$A:$BA,14,FALSE)</f>
        <v>0</v>
      </c>
      <c r="O18" s="90">
        <f>VLOOKUP($A18,Alimentos!$A:$BA,15,FALSE)</f>
        <v>0</v>
      </c>
      <c r="P18" s="111">
        <f>VLOOKUP($A18,Alimentos!$A:$BA,16,FALSE)</f>
        <v>0</v>
      </c>
      <c r="Q18" s="111">
        <f>VLOOKUP($A18,Alimentos!$A:$BA,17,FALSE)</f>
        <v>0</v>
      </c>
      <c r="R18" s="111">
        <f>VLOOKUP($A18,Alimentos!$A:$BA,18,FALSE)</f>
        <v>0</v>
      </c>
      <c r="S18" s="111">
        <f>VLOOKUP($A18,Alimentos!$A:$BA,19,FALSE)</f>
        <v>0</v>
      </c>
      <c r="T18" s="111">
        <f>VLOOKUP($A18,Alimentos!$A:$BA,20,FALSE)</f>
        <v>0</v>
      </c>
      <c r="U18" s="111">
        <f>VLOOKUP($A18,Alimentos!$A:$BA,21,FALSE)</f>
        <v>0</v>
      </c>
      <c r="V18" s="111">
        <f>VLOOKUP($A18,Alimentos!$A:$BA,22,FALSE)</f>
        <v>0</v>
      </c>
      <c r="W18" s="112">
        <f>VLOOKUP($A18,Alimentos!$A:$BA,23,FALSE)</f>
        <v>0</v>
      </c>
      <c r="X18" s="112">
        <f>VLOOKUP($A18,Alimentos!$A:$BA,24,FALSE)</f>
        <v>0</v>
      </c>
      <c r="Y18" s="112">
        <f>VLOOKUP($A18,Alimentos!$A:$BA,25,FALSE)</f>
        <v>0</v>
      </c>
      <c r="Z18" s="112">
        <f>VLOOKUP($A18,Alimentos!$A:$BA,26,FALSE)</f>
        <v>0</v>
      </c>
      <c r="AA18" s="112">
        <f>VLOOKUP($A18,Alimentos!$A:$BA,27,FALSE)</f>
        <v>0</v>
      </c>
      <c r="AB18" s="112">
        <f>VLOOKUP($A18,Alimentos!$A:$BA,28,FALSE)</f>
        <v>0</v>
      </c>
      <c r="AC18" s="112">
        <f>VLOOKUP($A18,Alimentos!$A:$BA,29,FALSE)</f>
        <v>0</v>
      </c>
      <c r="AD18" s="112">
        <f>VLOOKUP($A18,Alimentos!$A:$BA,30,FALSE)</f>
        <v>0</v>
      </c>
      <c r="AE18" s="112">
        <f>VLOOKUP($A18,Alimentos!$A:$BA,31,FALSE)</f>
        <v>0</v>
      </c>
      <c r="AF18" s="113">
        <f>VLOOKUP($A18,Alimentos!$A:$BA,32,FALSE)</f>
        <v>0</v>
      </c>
      <c r="AG18" s="113">
        <f>VLOOKUP($A18,Alimentos!$A:$BA,33,FALSE)</f>
        <v>0</v>
      </c>
      <c r="AH18" s="113">
        <f>VLOOKUP($A18,Alimentos!$A:$BA,34,FALSE)</f>
        <v>0</v>
      </c>
      <c r="AI18" s="113">
        <f>VLOOKUP($A18,Alimentos!$A:$BA,35,FALSE)</f>
        <v>0</v>
      </c>
      <c r="AJ18" s="113">
        <f>VLOOKUP($A18,Alimentos!$A:$BA,36,FALSE)</f>
        <v>0</v>
      </c>
      <c r="AK18" s="113">
        <f>VLOOKUP($A18,Alimentos!$A:$BA,37,FALSE)</f>
        <v>0</v>
      </c>
      <c r="AL18" s="113">
        <f>VLOOKUP($A18,Alimentos!$A:$BA,38,FALSE)</f>
        <v>0</v>
      </c>
      <c r="AM18" s="113">
        <f>VLOOKUP($A18,Alimentos!$A:$BA,39,FALSE)</f>
        <v>0</v>
      </c>
      <c r="AN18" s="113">
        <f>VLOOKUP($A18,Alimentos!$A:$BA,40,FALSE)</f>
        <v>0</v>
      </c>
      <c r="AO18" s="113">
        <f>VLOOKUP($A18,Alimentos!$A:$BA,41,FALSE)</f>
        <v>0</v>
      </c>
      <c r="AP18" s="113">
        <f>VLOOKUP($A18,Alimentos!$A:$BA,42,FALSE)</f>
        <v>0</v>
      </c>
      <c r="AQ18" s="113">
        <f>VLOOKUP($A18,Alimentos!$A:$BA,43,FALSE)</f>
        <v>0</v>
      </c>
      <c r="AR18" s="113">
        <f>VLOOKUP($A18,Alimentos!$A:$BA,44,FALSE)</f>
        <v>0</v>
      </c>
      <c r="AS18" s="113">
        <f>VLOOKUP($A18,Alimentos!$A:$BA,45,FALSE)</f>
        <v>0</v>
      </c>
    </row>
    <row r="19" spans="1:48" x14ac:dyDescent="0.25">
      <c r="A19" s="108" t="s">
        <v>60</v>
      </c>
      <c r="B19" s="109">
        <f>VLOOKUP($A19,Alimentos!$A:$BA,2,FALSE)</f>
        <v>0</v>
      </c>
      <c r="C19" s="114">
        <f>VLOOKUP($A19,Alimentos!$A:$BA,4,FALSE)</f>
        <v>0</v>
      </c>
      <c r="E19" s="111">
        <f>VLOOKUP($A19,Alimentos!$A:$BA,5,FALSE)</f>
        <v>0</v>
      </c>
      <c r="F19" s="111">
        <f>VLOOKUP($A19,Alimentos!$A:$BA,6,FALSE)</f>
        <v>0</v>
      </c>
      <c r="G19" s="111">
        <f>VLOOKUP($A19,Alimentos!$A:$BA,7,FALSE)</f>
        <v>0</v>
      </c>
      <c r="H19" s="111">
        <f>VLOOKUP($A19,Alimentos!$A:$BA,8,FALSE)</f>
        <v>0</v>
      </c>
      <c r="I19" s="111">
        <f>VLOOKUP($A19,Alimentos!$A:$BA,9,FALSE)</f>
        <v>0</v>
      </c>
      <c r="J19" s="111">
        <f>VLOOKUP($A19,Alimentos!$A:$BA,10,FALSE)</f>
        <v>0</v>
      </c>
      <c r="K19" s="111">
        <f>VLOOKUP($A19,Alimentos!$A:$BA,11,FALSE)</f>
        <v>0</v>
      </c>
      <c r="L19" s="111">
        <f>VLOOKUP($A19,Alimentos!$A:$BA,12,FALSE)</f>
        <v>0</v>
      </c>
      <c r="M19" s="111">
        <f>VLOOKUP($A19,Alimentos!$A:$BA,13,FALSE)</f>
        <v>0</v>
      </c>
      <c r="N19" s="111">
        <f>VLOOKUP($A19,Alimentos!$A:$BA,14,FALSE)</f>
        <v>0</v>
      </c>
      <c r="O19" s="90">
        <f>VLOOKUP($A19,Alimentos!$A:$BA,15,FALSE)</f>
        <v>0</v>
      </c>
      <c r="P19" s="111">
        <f>VLOOKUP($A19,Alimentos!$A:$BA,16,FALSE)</f>
        <v>0</v>
      </c>
      <c r="Q19" s="111">
        <f>VLOOKUP($A19,Alimentos!$A:$BA,17,FALSE)</f>
        <v>0</v>
      </c>
      <c r="R19" s="111">
        <f>VLOOKUP($A19,Alimentos!$A:$BA,18,FALSE)</f>
        <v>0</v>
      </c>
      <c r="S19" s="111">
        <f>VLOOKUP($A19,Alimentos!$A:$BA,19,FALSE)</f>
        <v>0</v>
      </c>
      <c r="T19" s="111">
        <f>VLOOKUP($A19,Alimentos!$A:$BA,20,FALSE)</f>
        <v>0</v>
      </c>
      <c r="U19" s="111">
        <f>VLOOKUP($A19,Alimentos!$A:$BA,21,FALSE)</f>
        <v>0</v>
      </c>
      <c r="V19" s="111">
        <f>VLOOKUP($A19,Alimentos!$A:$BA,22,FALSE)</f>
        <v>0</v>
      </c>
      <c r="W19" s="112">
        <f>VLOOKUP($A19,Alimentos!$A:$BA,23,FALSE)</f>
        <v>0</v>
      </c>
      <c r="X19" s="112">
        <f>VLOOKUP($A19,Alimentos!$A:$BA,24,FALSE)</f>
        <v>0</v>
      </c>
      <c r="Y19" s="112">
        <f>VLOOKUP($A19,Alimentos!$A:$BA,25,FALSE)</f>
        <v>0</v>
      </c>
      <c r="Z19" s="112">
        <f>VLOOKUP($A19,Alimentos!$A:$BA,26,FALSE)</f>
        <v>0</v>
      </c>
      <c r="AA19" s="112">
        <f>VLOOKUP($A19,Alimentos!$A:$BA,27,FALSE)</f>
        <v>0</v>
      </c>
      <c r="AB19" s="112">
        <f>VLOOKUP($A19,Alimentos!$A:$BA,28,FALSE)</f>
        <v>0</v>
      </c>
      <c r="AC19" s="112">
        <f>VLOOKUP($A19,Alimentos!$A:$BA,29,FALSE)</f>
        <v>0</v>
      </c>
      <c r="AD19" s="112">
        <f>VLOOKUP($A19,Alimentos!$A:$BA,30,FALSE)</f>
        <v>0</v>
      </c>
      <c r="AE19" s="112">
        <f>VLOOKUP($A19,Alimentos!$A:$BA,31,FALSE)</f>
        <v>0</v>
      </c>
      <c r="AF19" s="113">
        <f>VLOOKUP($A19,Alimentos!$A:$BA,32,FALSE)</f>
        <v>0</v>
      </c>
      <c r="AG19" s="113">
        <f>VLOOKUP($A19,Alimentos!$A:$BA,33,FALSE)</f>
        <v>0</v>
      </c>
      <c r="AH19" s="113">
        <f>VLOOKUP($A19,Alimentos!$A:$BA,34,FALSE)</f>
        <v>0</v>
      </c>
      <c r="AI19" s="113">
        <f>VLOOKUP($A19,Alimentos!$A:$BA,35,FALSE)</f>
        <v>0</v>
      </c>
      <c r="AJ19" s="113">
        <f>VLOOKUP($A19,Alimentos!$A:$BA,36,FALSE)</f>
        <v>0</v>
      </c>
      <c r="AK19" s="113">
        <f>VLOOKUP($A19,Alimentos!$A:$BA,37,FALSE)</f>
        <v>0</v>
      </c>
      <c r="AL19" s="113">
        <f>VLOOKUP($A19,Alimentos!$A:$BA,38,FALSE)</f>
        <v>0</v>
      </c>
      <c r="AM19" s="113">
        <f>VLOOKUP($A19,Alimentos!$A:$BA,39,FALSE)</f>
        <v>0</v>
      </c>
      <c r="AN19" s="113">
        <f>VLOOKUP($A19,Alimentos!$A:$BA,40,FALSE)</f>
        <v>0</v>
      </c>
      <c r="AO19" s="113">
        <f>VLOOKUP($A19,Alimentos!$A:$BA,41,FALSE)</f>
        <v>0</v>
      </c>
      <c r="AP19" s="113">
        <f>VLOOKUP($A19,Alimentos!$A:$BA,42,FALSE)</f>
        <v>0</v>
      </c>
      <c r="AQ19" s="113">
        <f>VLOOKUP($A19,Alimentos!$A:$BA,43,FALSE)</f>
        <v>0</v>
      </c>
      <c r="AR19" s="113">
        <f>VLOOKUP($A19,Alimentos!$A:$BA,44,FALSE)</f>
        <v>0</v>
      </c>
      <c r="AS19" s="113">
        <f>VLOOKUP($A19,Alimentos!$A:$BA,45,FALSE)</f>
        <v>0</v>
      </c>
    </row>
    <row r="20" spans="1:48" x14ac:dyDescent="0.25">
      <c r="A20" s="108" t="s">
        <v>60</v>
      </c>
      <c r="B20" s="109">
        <f>VLOOKUP($A20,Alimentos!$A:$BA,2,FALSE)</f>
        <v>0</v>
      </c>
      <c r="C20" s="114">
        <f>VLOOKUP($A20,Alimentos!$A:$BA,4,FALSE)</f>
        <v>0</v>
      </c>
      <c r="E20" s="111">
        <f>VLOOKUP($A20,Alimentos!$A:$BA,5,FALSE)</f>
        <v>0</v>
      </c>
      <c r="F20" s="111">
        <f>VLOOKUP($A20,Alimentos!$A:$BA,6,FALSE)</f>
        <v>0</v>
      </c>
      <c r="G20" s="111">
        <f>VLOOKUP($A20,Alimentos!$A:$BA,7,FALSE)</f>
        <v>0</v>
      </c>
      <c r="H20" s="111">
        <f>VLOOKUP($A20,Alimentos!$A:$BA,8,FALSE)</f>
        <v>0</v>
      </c>
      <c r="I20" s="111">
        <f>VLOOKUP($A20,Alimentos!$A:$BA,9,FALSE)</f>
        <v>0</v>
      </c>
      <c r="J20" s="111">
        <f>VLOOKUP($A20,Alimentos!$A:$BA,10,FALSE)</f>
        <v>0</v>
      </c>
      <c r="K20" s="111">
        <f>VLOOKUP($A20,Alimentos!$A:$BA,11,FALSE)</f>
        <v>0</v>
      </c>
      <c r="L20" s="111">
        <f>VLOOKUP($A20,Alimentos!$A:$BA,12,FALSE)</f>
        <v>0</v>
      </c>
      <c r="M20" s="111">
        <f>VLOOKUP($A20,Alimentos!$A:$BA,13,FALSE)</f>
        <v>0</v>
      </c>
      <c r="N20" s="111">
        <f>VLOOKUP($A20,Alimentos!$A:$BA,14,FALSE)</f>
        <v>0</v>
      </c>
      <c r="O20" s="90">
        <f>VLOOKUP($A20,Alimentos!$A:$BA,15,FALSE)</f>
        <v>0</v>
      </c>
      <c r="P20" s="111">
        <f>VLOOKUP($A20,Alimentos!$A:$BA,16,FALSE)</f>
        <v>0</v>
      </c>
      <c r="Q20" s="111">
        <f>VLOOKUP($A20,Alimentos!$A:$BA,17,FALSE)</f>
        <v>0</v>
      </c>
      <c r="R20" s="111">
        <f>VLOOKUP($A20,Alimentos!$A:$BA,18,FALSE)</f>
        <v>0</v>
      </c>
      <c r="S20" s="111">
        <f>VLOOKUP($A20,Alimentos!$A:$BA,19,FALSE)</f>
        <v>0</v>
      </c>
      <c r="T20" s="111">
        <f>VLOOKUP($A20,Alimentos!$A:$BA,20,FALSE)</f>
        <v>0</v>
      </c>
      <c r="U20" s="111">
        <f>VLOOKUP($A20,Alimentos!$A:$BA,21,FALSE)</f>
        <v>0</v>
      </c>
      <c r="V20" s="111">
        <f>VLOOKUP($A20,Alimentos!$A:$BA,22,FALSE)</f>
        <v>0</v>
      </c>
      <c r="W20" s="112">
        <f>VLOOKUP($A20,Alimentos!$A:$BA,23,FALSE)</f>
        <v>0</v>
      </c>
      <c r="X20" s="112">
        <f>VLOOKUP($A20,Alimentos!$A:$BA,24,FALSE)</f>
        <v>0</v>
      </c>
      <c r="Y20" s="112">
        <f>VLOOKUP($A20,Alimentos!$A:$BA,25,FALSE)</f>
        <v>0</v>
      </c>
      <c r="Z20" s="112">
        <f>VLOOKUP($A20,Alimentos!$A:$BA,26,FALSE)</f>
        <v>0</v>
      </c>
      <c r="AA20" s="112">
        <f>VLOOKUP($A20,Alimentos!$A:$BA,27,FALSE)</f>
        <v>0</v>
      </c>
      <c r="AB20" s="112">
        <f>VLOOKUP($A20,Alimentos!$A:$BA,28,FALSE)</f>
        <v>0</v>
      </c>
      <c r="AC20" s="112">
        <f>VLOOKUP($A20,Alimentos!$A:$BA,29,FALSE)</f>
        <v>0</v>
      </c>
      <c r="AD20" s="112">
        <f>VLOOKUP($A20,Alimentos!$A:$BA,30,FALSE)</f>
        <v>0</v>
      </c>
      <c r="AE20" s="112">
        <f>VLOOKUP($A20,Alimentos!$A:$BA,31,FALSE)</f>
        <v>0</v>
      </c>
      <c r="AF20" s="113">
        <f>VLOOKUP($A20,Alimentos!$A:$BA,32,FALSE)</f>
        <v>0</v>
      </c>
      <c r="AG20" s="113">
        <f>VLOOKUP($A20,Alimentos!$A:$BA,33,FALSE)</f>
        <v>0</v>
      </c>
      <c r="AH20" s="113">
        <f>VLOOKUP($A20,Alimentos!$A:$BA,34,FALSE)</f>
        <v>0</v>
      </c>
      <c r="AI20" s="113">
        <f>VLOOKUP($A20,Alimentos!$A:$BA,35,FALSE)</f>
        <v>0</v>
      </c>
      <c r="AJ20" s="113">
        <f>VLOOKUP($A20,Alimentos!$A:$BA,36,FALSE)</f>
        <v>0</v>
      </c>
      <c r="AK20" s="113">
        <f>VLOOKUP($A20,Alimentos!$A:$BA,37,FALSE)</f>
        <v>0</v>
      </c>
      <c r="AL20" s="113">
        <f>VLOOKUP($A20,Alimentos!$A:$BA,38,FALSE)</f>
        <v>0</v>
      </c>
      <c r="AM20" s="113">
        <f>VLOOKUP($A20,Alimentos!$A:$BA,39,FALSE)</f>
        <v>0</v>
      </c>
      <c r="AN20" s="113">
        <f>VLOOKUP($A20,Alimentos!$A:$BA,40,FALSE)</f>
        <v>0</v>
      </c>
      <c r="AO20" s="113">
        <f>VLOOKUP($A20,Alimentos!$A:$BA,41,FALSE)</f>
        <v>0</v>
      </c>
      <c r="AP20" s="113">
        <f>VLOOKUP($A20,Alimentos!$A:$BA,42,FALSE)</f>
        <v>0</v>
      </c>
      <c r="AQ20" s="113">
        <f>VLOOKUP($A20,Alimentos!$A:$BA,43,FALSE)</f>
        <v>0</v>
      </c>
      <c r="AR20" s="113">
        <f>VLOOKUP($A20,Alimentos!$A:$BA,44,FALSE)</f>
        <v>0</v>
      </c>
      <c r="AS20" s="113">
        <f>VLOOKUP($A20,Alimentos!$A:$BA,45,FALSE)</f>
        <v>0</v>
      </c>
    </row>
    <row r="21" spans="1:48" ht="17.25" thickBot="1" x14ac:dyDescent="0.3">
      <c r="A21" s="116" t="s">
        <v>60</v>
      </c>
      <c r="B21" s="117">
        <f>VLOOKUP($A21,Alimentos!$A:$BA,2,FALSE)</f>
        <v>0</v>
      </c>
      <c r="C21" s="118">
        <f>VLOOKUP($A21,Alimentos!$A:$BA,4,FALSE)</f>
        <v>0</v>
      </c>
      <c r="D21" s="119"/>
      <c r="E21" s="120">
        <f>VLOOKUP($A21,Alimentos!$A:$BA,5,FALSE)</f>
        <v>0</v>
      </c>
      <c r="F21" s="120">
        <f>VLOOKUP($A21,Alimentos!$A:$BA,6,FALSE)</f>
        <v>0</v>
      </c>
      <c r="G21" s="120">
        <f>VLOOKUP($A21,Alimentos!$A:$BA,7,FALSE)</f>
        <v>0</v>
      </c>
      <c r="H21" s="120">
        <f>VLOOKUP($A21,Alimentos!$A:$BA,8,FALSE)</f>
        <v>0</v>
      </c>
      <c r="I21" s="120">
        <f>VLOOKUP($A21,Alimentos!$A:$BA,9,FALSE)</f>
        <v>0</v>
      </c>
      <c r="J21" s="120">
        <f>VLOOKUP($A21,Alimentos!$A:$BA,10,FALSE)</f>
        <v>0</v>
      </c>
      <c r="K21" s="120">
        <f>VLOOKUP($A21,Alimentos!$A:$BA,11,FALSE)</f>
        <v>0</v>
      </c>
      <c r="L21" s="120">
        <f>VLOOKUP($A21,Alimentos!$A:$BA,12,FALSE)</f>
        <v>0</v>
      </c>
      <c r="M21" s="120">
        <f>VLOOKUP($A21,Alimentos!$A:$BA,13,FALSE)</f>
        <v>0</v>
      </c>
      <c r="N21" s="120">
        <f>VLOOKUP($A21,Alimentos!$A:$BA,14,FALSE)</f>
        <v>0</v>
      </c>
      <c r="O21" s="121">
        <f>VLOOKUP($A21,Alimentos!$A:$BA,15,FALSE)</f>
        <v>0</v>
      </c>
      <c r="P21" s="120">
        <f>VLOOKUP($A21,Alimentos!$A:$BA,16,FALSE)</f>
        <v>0</v>
      </c>
      <c r="Q21" s="120">
        <f>VLOOKUP($A21,Alimentos!$A:$BA,17,FALSE)</f>
        <v>0</v>
      </c>
      <c r="R21" s="120">
        <f>VLOOKUP($A21,Alimentos!$A:$BA,18,FALSE)</f>
        <v>0</v>
      </c>
      <c r="S21" s="120">
        <f>VLOOKUP($A21,Alimentos!$A:$BA,19,FALSE)</f>
        <v>0</v>
      </c>
      <c r="T21" s="120">
        <f>VLOOKUP($A21,Alimentos!$A:$BA,20,FALSE)</f>
        <v>0</v>
      </c>
      <c r="U21" s="120">
        <f>VLOOKUP($A21,Alimentos!$A:$BA,21,FALSE)</f>
        <v>0</v>
      </c>
      <c r="V21" s="120">
        <f>VLOOKUP($A21,Alimentos!$A:$BA,22,FALSE)</f>
        <v>0</v>
      </c>
      <c r="W21" s="122">
        <f>VLOOKUP($A21,Alimentos!$A:$BA,23,FALSE)</f>
        <v>0</v>
      </c>
      <c r="X21" s="122">
        <f>VLOOKUP($A21,Alimentos!$A:$BA,24,FALSE)</f>
        <v>0</v>
      </c>
      <c r="Y21" s="122">
        <f>VLOOKUP($A21,Alimentos!$A:$BA,25,FALSE)</f>
        <v>0</v>
      </c>
      <c r="Z21" s="122">
        <f>VLOOKUP($A21,Alimentos!$A:$BA,26,FALSE)</f>
        <v>0</v>
      </c>
      <c r="AA21" s="122">
        <f>VLOOKUP($A21,Alimentos!$A:$BA,27,FALSE)</f>
        <v>0</v>
      </c>
      <c r="AB21" s="122">
        <f>VLOOKUP($A21,Alimentos!$A:$BA,28,FALSE)</f>
        <v>0</v>
      </c>
      <c r="AC21" s="122">
        <f>VLOOKUP($A21,Alimentos!$A:$BA,29,FALSE)</f>
        <v>0</v>
      </c>
      <c r="AD21" s="122">
        <f>VLOOKUP($A21,Alimentos!$A:$BA,30,FALSE)</f>
        <v>0</v>
      </c>
      <c r="AE21" s="122">
        <f>VLOOKUP($A21,Alimentos!$A:$BA,31,FALSE)</f>
        <v>0</v>
      </c>
      <c r="AF21" s="123">
        <f>VLOOKUP($A21,Alimentos!$A:$BA,32,FALSE)</f>
        <v>0</v>
      </c>
      <c r="AG21" s="123">
        <f>VLOOKUP($A21,Alimentos!$A:$BA,33,FALSE)</f>
        <v>0</v>
      </c>
      <c r="AH21" s="123">
        <f>VLOOKUP($A21,Alimentos!$A:$BA,34,FALSE)</f>
        <v>0</v>
      </c>
      <c r="AI21" s="123">
        <f>VLOOKUP($A21,Alimentos!$A:$BA,35,FALSE)</f>
        <v>0</v>
      </c>
      <c r="AJ21" s="123">
        <f>VLOOKUP($A21,Alimentos!$A:$BA,36,FALSE)</f>
        <v>0</v>
      </c>
      <c r="AK21" s="123">
        <f>VLOOKUP($A21,Alimentos!$A:$BA,37,FALSE)</f>
        <v>0</v>
      </c>
      <c r="AL21" s="123">
        <f>VLOOKUP($A21,Alimentos!$A:$BA,38,FALSE)</f>
        <v>0</v>
      </c>
      <c r="AM21" s="123">
        <f>VLOOKUP($A21,Alimentos!$A:$BA,39,FALSE)</f>
        <v>0</v>
      </c>
      <c r="AN21" s="123">
        <f>VLOOKUP($A21,Alimentos!$A:$BA,40,FALSE)</f>
        <v>0</v>
      </c>
      <c r="AO21" s="123">
        <f>VLOOKUP($A21,Alimentos!$A:$BA,41,FALSE)</f>
        <v>0</v>
      </c>
      <c r="AP21" s="123">
        <f>VLOOKUP($A21,Alimentos!$A:$BA,42,FALSE)</f>
        <v>0</v>
      </c>
      <c r="AQ21" s="123">
        <f>VLOOKUP($A21,Alimentos!$A:$BA,43,FALSE)</f>
        <v>0</v>
      </c>
      <c r="AR21" s="123">
        <f>VLOOKUP($A21,Alimentos!$A:$BA,44,FALSE)</f>
        <v>0</v>
      </c>
      <c r="AS21" s="123">
        <f>VLOOKUP($A21,Alimentos!$A:$BA,45,FALSE)</f>
        <v>0</v>
      </c>
    </row>
    <row r="22" spans="1:48" ht="17.25" thickTop="1" x14ac:dyDescent="0.25">
      <c r="E22" s="82"/>
      <c r="AF22" s="77"/>
      <c r="AG22" s="77"/>
      <c r="AH22" s="77"/>
      <c r="AI22" s="77"/>
    </row>
    <row r="23" spans="1:48" s="98" customFormat="1" x14ac:dyDescent="0.25">
      <c r="A23" s="98" t="s">
        <v>1</v>
      </c>
      <c r="B23" s="85" t="str">
        <f>B4</f>
        <v>R$/Kg MN</v>
      </c>
      <c r="C23" s="85"/>
      <c r="D23" s="85" t="s">
        <v>3</v>
      </c>
      <c r="E23" s="82" t="s">
        <v>30</v>
      </c>
      <c r="F23" s="85" t="s">
        <v>30</v>
      </c>
      <c r="G23" s="85" t="s">
        <v>30</v>
      </c>
      <c r="H23" s="85" t="s">
        <v>30</v>
      </c>
      <c r="I23" s="85" t="s">
        <v>30</v>
      </c>
      <c r="J23" s="94" t="s">
        <v>30</v>
      </c>
      <c r="K23" s="94" t="s">
        <v>30</v>
      </c>
      <c r="L23" s="94" t="s">
        <v>30</v>
      </c>
      <c r="M23" s="85" t="s">
        <v>30</v>
      </c>
      <c r="N23" s="85" t="s">
        <v>30</v>
      </c>
      <c r="O23" s="94" t="s">
        <v>31</v>
      </c>
      <c r="P23" s="94" t="s">
        <v>30</v>
      </c>
      <c r="Q23" s="94" t="s">
        <v>30</v>
      </c>
      <c r="R23" s="94" t="s">
        <v>30</v>
      </c>
      <c r="S23" s="85" t="s">
        <v>30</v>
      </c>
      <c r="T23" s="85" t="s">
        <v>30</v>
      </c>
      <c r="U23" s="94" t="s">
        <v>30</v>
      </c>
      <c r="V23" s="94" t="s">
        <v>30</v>
      </c>
      <c r="W23" s="85" t="s">
        <v>30</v>
      </c>
      <c r="X23" s="85" t="s">
        <v>30</v>
      </c>
      <c r="Y23" s="85" t="s">
        <v>30</v>
      </c>
      <c r="Z23" s="85" t="s">
        <v>30</v>
      </c>
      <c r="AA23" s="85" t="s">
        <v>30</v>
      </c>
      <c r="AB23" s="85" t="s">
        <v>30</v>
      </c>
      <c r="AC23" s="85" t="s">
        <v>30</v>
      </c>
      <c r="AD23" s="85" t="s">
        <v>30</v>
      </c>
      <c r="AE23" s="85" t="s">
        <v>30</v>
      </c>
      <c r="AF23" s="85" t="s">
        <v>49</v>
      </c>
      <c r="AG23" s="85" t="s">
        <v>49</v>
      </c>
      <c r="AH23" s="85" t="s">
        <v>49</v>
      </c>
      <c r="AI23" s="85" t="s">
        <v>49</v>
      </c>
      <c r="AJ23" s="85" t="s">
        <v>49</v>
      </c>
      <c r="AK23" s="85" t="s">
        <v>49</v>
      </c>
      <c r="AL23" s="85" t="s">
        <v>49</v>
      </c>
      <c r="AM23" s="85" t="s">
        <v>51</v>
      </c>
      <c r="AN23" s="85" t="s">
        <v>51</v>
      </c>
      <c r="AO23" s="85" t="s">
        <v>51</v>
      </c>
      <c r="AP23" s="85" t="s">
        <v>49</v>
      </c>
      <c r="AQ23" s="85" t="s">
        <v>49</v>
      </c>
      <c r="AR23" s="85" t="s">
        <v>49</v>
      </c>
      <c r="AS23" s="85" t="s">
        <v>173</v>
      </c>
    </row>
    <row r="24" spans="1:48" s="98" customFormat="1" ht="17.25" thickBot="1" x14ac:dyDescent="0.3">
      <c r="A24" s="98" t="s">
        <v>5</v>
      </c>
      <c r="B24" s="85" t="s">
        <v>6</v>
      </c>
      <c r="C24" s="85"/>
      <c r="D24" s="85" t="s">
        <v>7</v>
      </c>
      <c r="E24" s="82" t="s">
        <v>7</v>
      </c>
      <c r="F24" s="85" t="s">
        <v>8</v>
      </c>
      <c r="G24" s="85" t="s">
        <v>9</v>
      </c>
      <c r="H24" s="95" t="s">
        <v>67</v>
      </c>
      <c r="I24" s="85" t="s">
        <v>10</v>
      </c>
      <c r="J24" s="94" t="s">
        <v>11</v>
      </c>
      <c r="K24" s="94" t="s">
        <v>112</v>
      </c>
      <c r="L24" s="94" t="s">
        <v>113</v>
      </c>
      <c r="M24" s="85" t="s">
        <v>12</v>
      </c>
      <c r="N24" s="85" t="s">
        <v>13</v>
      </c>
      <c r="O24" s="95" t="s">
        <v>14</v>
      </c>
      <c r="P24" s="94" t="s">
        <v>15</v>
      </c>
      <c r="Q24" s="94" t="s">
        <v>115</v>
      </c>
      <c r="R24" s="94" t="s">
        <v>114</v>
      </c>
      <c r="S24" s="93" t="s">
        <v>17</v>
      </c>
      <c r="T24" s="93" t="s">
        <v>18</v>
      </c>
      <c r="U24" s="94" t="s">
        <v>99</v>
      </c>
      <c r="V24" s="94" t="s">
        <v>102</v>
      </c>
      <c r="W24" s="96" t="s">
        <v>19</v>
      </c>
      <c r="X24" s="96" t="s">
        <v>20</v>
      </c>
      <c r="Y24" s="96" t="s">
        <v>21</v>
      </c>
      <c r="Z24" s="96" t="s">
        <v>22</v>
      </c>
      <c r="AA24" s="96" t="s">
        <v>23</v>
      </c>
      <c r="AB24" s="96" t="s">
        <v>24</v>
      </c>
      <c r="AC24" s="96" t="s">
        <v>25</v>
      </c>
      <c r="AD24" s="96" t="s">
        <v>26</v>
      </c>
      <c r="AE24" s="96" t="s">
        <v>27</v>
      </c>
      <c r="AF24" s="97" t="s">
        <v>37</v>
      </c>
      <c r="AG24" s="97" t="s">
        <v>38</v>
      </c>
      <c r="AH24" s="97" t="s">
        <v>41</v>
      </c>
      <c r="AI24" s="97" t="s">
        <v>43</v>
      </c>
      <c r="AJ24" s="97" t="s">
        <v>42</v>
      </c>
      <c r="AK24" s="97" t="s">
        <v>40</v>
      </c>
      <c r="AL24" s="97" t="s">
        <v>39</v>
      </c>
      <c r="AM24" s="97" t="s">
        <v>44</v>
      </c>
      <c r="AN24" s="97" t="s">
        <v>45</v>
      </c>
      <c r="AO24" s="97" t="s">
        <v>46</v>
      </c>
      <c r="AP24" s="97" t="s">
        <v>47</v>
      </c>
      <c r="AQ24" s="97" t="s">
        <v>48</v>
      </c>
      <c r="AR24" s="97" t="s">
        <v>170</v>
      </c>
      <c r="AS24" s="97" t="s">
        <v>171</v>
      </c>
    </row>
    <row r="25" spans="1:48" ht="17.25" thickTop="1" x14ac:dyDescent="0.25">
      <c r="A25" s="124" t="str">
        <f>A6</f>
        <v>x</v>
      </c>
      <c r="B25" s="90">
        <f t="shared" ref="B25:B40" si="0">C25*B6</f>
        <v>0</v>
      </c>
      <c r="C25" s="125"/>
      <c r="D25" s="111" t="e">
        <f t="shared" ref="D25:D40" si="1">E25/E$43</f>
        <v>#DIV/0!</v>
      </c>
      <c r="E25" s="90">
        <f t="shared" ref="E25:E40" si="2">C25*E6</f>
        <v>0</v>
      </c>
      <c r="F25" s="109">
        <f t="shared" ref="F25:Q40" si="3">$E25*F6</f>
        <v>0</v>
      </c>
      <c r="G25" s="109">
        <f t="shared" si="3"/>
        <v>0</v>
      </c>
      <c r="H25" s="109">
        <f t="shared" si="3"/>
        <v>0</v>
      </c>
      <c r="I25" s="109">
        <f t="shared" si="3"/>
        <v>0</v>
      </c>
      <c r="J25" s="109">
        <f t="shared" si="3"/>
        <v>0</v>
      </c>
      <c r="K25" s="109">
        <f>IF(AT25="S",((((I6*K6*100)*0.9465)+4.5798)/100)*E25,IF(AT25="F",I6*K6*E25,0))</f>
        <v>0</v>
      </c>
      <c r="L25" s="109">
        <f>IF(AT25="S",((((I6*L6*100)*1.0083)+0.4502)/100)*E25,IF(AT25="F",I6*L6*E25,0))</f>
        <v>0</v>
      </c>
      <c r="M25" s="109">
        <f t="shared" ref="M25:U40" si="4">$E25*M6</f>
        <v>0</v>
      </c>
      <c r="N25" s="109">
        <f t="shared" si="4"/>
        <v>0</v>
      </c>
      <c r="O25" s="90">
        <f t="shared" si="4"/>
        <v>0</v>
      </c>
      <c r="P25" s="109">
        <f t="shared" si="4"/>
        <v>0</v>
      </c>
      <c r="Q25" s="109">
        <f t="shared" si="4"/>
        <v>0</v>
      </c>
      <c r="R25" s="109">
        <f t="shared" si="4"/>
        <v>0</v>
      </c>
      <c r="S25" s="109">
        <f t="shared" si="4"/>
        <v>0</v>
      </c>
      <c r="T25" s="109">
        <f t="shared" si="4"/>
        <v>0</v>
      </c>
      <c r="U25" s="109">
        <f t="shared" si="4"/>
        <v>0</v>
      </c>
      <c r="V25" s="109" t="e">
        <f t="shared" ref="V25:V40" si="5">(V6/(V6+I$56))*U25</f>
        <v>#DIV/0!</v>
      </c>
      <c r="W25" s="109">
        <f t="shared" ref="W25:AS36" si="6">$E25*W6</f>
        <v>0</v>
      </c>
      <c r="X25" s="109">
        <f t="shared" si="6"/>
        <v>0</v>
      </c>
      <c r="Y25" s="109">
        <f t="shared" si="6"/>
        <v>0</v>
      </c>
      <c r="Z25" s="109">
        <f t="shared" si="6"/>
        <v>0</v>
      </c>
      <c r="AA25" s="109">
        <f t="shared" si="6"/>
        <v>0</v>
      </c>
      <c r="AB25" s="109">
        <f t="shared" si="6"/>
        <v>0</v>
      </c>
      <c r="AC25" s="109">
        <f t="shared" si="6"/>
        <v>0</v>
      </c>
      <c r="AD25" s="109">
        <f t="shared" si="6"/>
        <v>0</v>
      </c>
      <c r="AE25" s="109">
        <f t="shared" si="6"/>
        <v>0</v>
      </c>
      <c r="AF25" s="126">
        <f t="shared" si="6"/>
        <v>0</v>
      </c>
      <c r="AG25" s="126">
        <f t="shared" si="6"/>
        <v>0</v>
      </c>
      <c r="AH25" s="126">
        <f t="shared" si="6"/>
        <v>0</v>
      </c>
      <c r="AI25" s="126">
        <f t="shared" si="6"/>
        <v>0</v>
      </c>
      <c r="AJ25" s="126">
        <f t="shared" si="6"/>
        <v>0</v>
      </c>
      <c r="AK25" s="126">
        <f t="shared" si="6"/>
        <v>0</v>
      </c>
      <c r="AL25" s="126">
        <f t="shared" si="6"/>
        <v>0</v>
      </c>
      <c r="AM25" s="126">
        <f t="shared" si="6"/>
        <v>0</v>
      </c>
      <c r="AN25" s="126">
        <f t="shared" si="6"/>
        <v>0</v>
      </c>
      <c r="AO25" s="126">
        <f t="shared" si="6"/>
        <v>0</v>
      </c>
      <c r="AP25" s="126">
        <f t="shared" si="6"/>
        <v>0</v>
      </c>
      <c r="AQ25" s="126">
        <f t="shared" si="6"/>
        <v>0</v>
      </c>
      <c r="AR25" s="126">
        <f t="shared" si="6"/>
        <v>0</v>
      </c>
      <c r="AS25" s="126">
        <f t="shared" si="6"/>
        <v>0</v>
      </c>
      <c r="AT25" s="113">
        <f t="shared" ref="AT25:AT40" si="7">C6</f>
        <v>0</v>
      </c>
      <c r="AU25" s="182" t="e">
        <f>($C25/$C$42)*(K6-L6)</f>
        <v>#DIV/0!</v>
      </c>
      <c r="AV25" s="183" t="e">
        <f>($C25/$C$42)*L6</f>
        <v>#DIV/0!</v>
      </c>
    </row>
    <row r="26" spans="1:48" x14ac:dyDescent="0.25">
      <c r="A26" s="124" t="str">
        <f>A7</f>
        <v>x</v>
      </c>
      <c r="B26" s="90">
        <f t="shared" si="0"/>
        <v>0</v>
      </c>
      <c r="C26" s="127"/>
      <c r="D26" s="111" t="e">
        <f t="shared" si="1"/>
        <v>#DIV/0!</v>
      </c>
      <c r="E26" s="90">
        <f t="shared" si="2"/>
        <v>0</v>
      </c>
      <c r="F26" s="109">
        <f t="shared" si="3"/>
        <v>0</v>
      </c>
      <c r="G26" s="109">
        <f t="shared" si="3"/>
        <v>0</v>
      </c>
      <c r="H26" s="109">
        <f t="shared" si="3"/>
        <v>0</v>
      </c>
      <c r="I26" s="109">
        <f t="shared" si="3"/>
        <v>0</v>
      </c>
      <c r="J26" s="109">
        <f t="shared" si="3"/>
        <v>0</v>
      </c>
      <c r="K26" s="109">
        <f t="shared" ref="K26:K40" si="8">IF(AT26="S",((((I7*K7*100)*0.9465)+4.5798)/100)*E26,IF(AT26="F",I7*K7*E26,0))</f>
        <v>0</v>
      </c>
      <c r="L26" s="109">
        <f t="shared" ref="L26:L40" si="9">IF(AT26="S",((((I7*L7*100)*1.0083)+0.4502)/100)*E26,IF(AT26="F",I7*L7*E26,0))</f>
        <v>0</v>
      </c>
      <c r="M26" s="109">
        <f t="shared" si="4"/>
        <v>0</v>
      </c>
      <c r="N26" s="109">
        <f t="shared" si="4"/>
        <v>0</v>
      </c>
      <c r="O26" s="90">
        <f t="shared" si="4"/>
        <v>0</v>
      </c>
      <c r="P26" s="109">
        <f t="shared" si="4"/>
        <v>0</v>
      </c>
      <c r="Q26" s="109">
        <f t="shared" si="4"/>
        <v>0</v>
      </c>
      <c r="R26" s="109">
        <f t="shared" si="4"/>
        <v>0</v>
      </c>
      <c r="S26" s="109">
        <f t="shared" si="4"/>
        <v>0</v>
      </c>
      <c r="T26" s="109">
        <f t="shared" si="4"/>
        <v>0</v>
      </c>
      <c r="U26" s="109">
        <f t="shared" si="4"/>
        <v>0</v>
      </c>
      <c r="V26" s="109" t="e">
        <f t="shared" si="5"/>
        <v>#DIV/0!</v>
      </c>
      <c r="W26" s="109">
        <f t="shared" si="6"/>
        <v>0</v>
      </c>
      <c r="X26" s="109">
        <f t="shared" si="6"/>
        <v>0</v>
      </c>
      <c r="Y26" s="109">
        <f t="shared" si="6"/>
        <v>0</v>
      </c>
      <c r="Z26" s="109">
        <f t="shared" si="6"/>
        <v>0</v>
      </c>
      <c r="AA26" s="109">
        <f t="shared" si="6"/>
        <v>0</v>
      </c>
      <c r="AB26" s="109">
        <f t="shared" si="6"/>
        <v>0</v>
      </c>
      <c r="AC26" s="109">
        <f t="shared" si="6"/>
        <v>0</v>
      </c>
      <c r="AD26" s="109">
        <f t="shared" si="6"/>
        <v>0</v>
      </c>
      <c r="AE26" s="109">
        <f t="shared" si="6"/>
        <v>0</v>
      </c>
      <c r="AF26" s="126">
        <f t="shared" si="6"/>
        <v>0</v>
      </c>
      <c r="AG26" s="126">
        <f t="shared" si="6"/>
        <v>0</v>
      </c>
      <c r="AH26" s="126">
        <f t="shared" si="6"/>
        <v>0</v>
      </c>
      <c r="AI26" s="126">
        <f t="shared" si="6"/>
        <v>0</v>
      </c>
      <c r="AJ26" s="126">
        <f t="shared" si="6"/>
        <v>0</v>
      </c>
      <c r="AK26" s="126">
        <f t="shared" si="6"/>
        <v>0</v>
      </c>
      <c r="AL26" s="126">
        <f t="shared" si="6"/>
        <v>0</v>
      </c>
      <c r="AM26" s="126">
        <f t="shared" si="6"/>
        <v>0</v>
      </c>
      <c r="AN26" s="126">
        <f t="shared" si="6"/>
        <v>0</v>
      </c>
      <c r="AO26" s="126">
        <f t="shared" si="6"/>
        <v>0</v>
      </c>
      <c r="AP26" s="126">
        <f t="shared" si="6"/>
        <v>0</v>
      </c>
      <c r="AQ26" s="126">
        <f t="shared" si="6"/>
        <v>0</v>
      </c>
      <c r="AR26" s="126">
        <f t="shared" si="6"/>
        <v>0</v>
      </c>
      <c r="AS26" s="126">
        <f t="shared" si="6"/>
        <v>0</v>
      </c>
      <c r="AT26" s="113">
        <f t="shared" si="7"/>
        <v>0</v>
      </c>
      <c r="AU26" s="182" t="e">
        <f t="shared" ref="AU26:AU40" si="10">($C26/$C$42)*(K7-L7)</f>
        <v>#DIV/0!</v>
      </c>
      <c r="AV26" s="183" t="e">
        <f t="shared" ref="AV26:AV40" si="11">($C26/$C$42)*L7</f>
        <v>#DIV/0!</v>
      </c>
    </row>
    <row r="27" spans="1:48" x14ac:dyDescent="0.25">
      <c r="A27" s="124" t="str">
        <f>A8</f>
        <v>x</v>
      </c>
      <c r="B27" s="90">
        <f t="shared" si="0"/>
        <v>0</v>
      </c>
      <c r="C27" s="127"/>
      <c r="D27" s="111" t="e">
        <f t="shared" si="1"/>
        <v>#DIV/0!</v>
      </c>
      <c r="E27" s="90">
        <f t="shared" si="2"/>
        <v>0</v>
      </c>
      <c r="F27" s="109">
        <f t="shared" si="3"/>
        <v>0</v>
      </c>
      <c r="G27" s="109">
        <f t="shared" si="3"/>
        <v>0</v>
      </c>
      <c r="H27" s="109">
        <f t="shared" si="3"/>
        <v>0</v>
      </c>
      <c r="I27" s="109">
        <f t="shared" si="3"/>
        <v>0</v>
      </c>
      <c r="J27" s="109">
        <f t="shared" si="3"/>
        <v>0</v>
      </c>
      <c r="K27" s="109">
        <f t="shared" si="8"/>
        <v>0</v>
      </c>
      <c r="L27" s="109">
        <f t="shared" si="9"/>
        <v>0</v>
      </c>
      <c r="M27" s="109">
        <f t="shared" si="4"/>
        <v>0</v>
      </c>
      <c r="N27" s="109">
        <f t="shared" si="4"/>
        <v>0</v>
      </c>
      <c r="O27" s="90">
        <f t="shared" si="4"/>
        <v>0</v>
      </c>
      <c r="P27" s="109">
        <f t="shared" si="4"/>
        <v>0</v>
      </c>
      <c r="Q27" s="109">
        <f t="shared" si="4"/>
        <v>0</v>
      </c>
      <c r="R27" s="109">
        <f t="shared" si="4"/>
        <v>0</v>
      </c>
      <c r="S27" s="109">
        <f t="shared" si="4"/>
        <v>0</v>
      </c>
      <c r="T27" s="109">
        <f t="shared" si="4"/>
        <v>0</v>
      </c>
      <c r="U27" s="109">
        <f t="shared" si="4"/>
        <v>0</v>
      </c>
      <c r="V27" s="109" t="e">
        <f t="shared" si="5"/>
        <v>#DIV/0!</v>
      </c>
      <c r="W27" s="109">
        <f t="shared" si="6"/>
        <v>0</v>
      </c>
      <c r="X27" s="109">
        <f t="shared" si="6"/>
        <v>0</v>
      </c>
      <c r="Y27" s="109">
        <f t="shared" si="6"/>
        <v>0</v>
      </c>
      <c r="Z27" s="109">
        <f t="shared" si="6"/>
        <v>0</v>
      </c>
      <c r="AA27" s="109">
        <f t="shared" si="6"/>
        <v>0</v>
      </c>
      <c r="AB27" s="109">
        <f t="shared" si="6"/>
        <v>0</v>
      </c>
      <c r="AC27" s="109">
        <f t="shared" si="6"/>
        <v>0</v>
      </c>
      <c r="AD27" s="109">
        <f t="shared" si="6"/>
        <v>0</v>
      </c>
      <c r="AE27" s="109">
        <f t="shared" si="6"/>
        <v>0</v>
      </c>
      <c r="AF27" s="126">
        <f t="shared" si="6"/>
        <v>0</v>
      </c>
      <c r="AG27" s="126">
        <f t="shared" si="6"/>
        <v>0</v>
      </c>
      <c r="AH27" s="126">
        <f t="shared" si="6"/>
        <v>0</v>
      </c>
      <c r="AI27" s="126">
        <f t="shared" si="6"/>
        <v>0</v>
      </c>
      <c r="AJ27" s="126">
        <f t="shared" si="6"/>
        <v>0</v>
      </c>
      <c r="AK27" s="126">
        <f t="shared" si="6"/>
        <v>0</v>
      </c>
      <c r="AL27" s="126">
        <f t="shared" si="6"/>
        <v>0</v>
      </c>
      <c r="AM27" s="126">
        <f t="shared" si="6"/>
        <v>0</v>
      </c>
      <c r="AN27" s="126">
        <f t="shared" si="6"/>
        <v>0</v>
      </c>
      <c r="AO27" s="126">
        <f t="shared" si="6"/>
        <v>0</v>
      </c>
      <c r="AP27" s="126">
        <f t="shared" si="6"/>
        <v>0</v>
      </c>
      <c r="AQ27" s="126">
        <f t="shared" si="6"/>
        <v>0</v>
      </c>
      <c r="AR27" s="126">
        <f t="shared" si="6"/>
        <v>0</v>
      </c>
      <c r="AS27" s="126">
        <f t="shared" si="6"/>
        <v>0</v>
      </c>
      <c r="AT27" s="113">
        <f t="shared" si="7"/>
        <v>0</v>
      </c>
      <c r="AU27" s="182" t="e">
        <f t="shared" si="10"/>
        <v>#DIV/0!</v>
      </c>
      <c r="AV27" s="183" t="e">
        <f t="shared" si="11"/>
        <v>#DIV/0!</v>
      </c>
    </row>
    <row r="28" spans="1:48" x14ac:dyDescent="0.25">
      <c r="A28" s="124" t="str">
        <f>A9</f>
        <v>x</v>
      </c>
      <c r="B28" s="90">
        <f t="shared" si="0"/>
        <v>0</v>
      </c>
      <c r="C28" s="127"/>
      <c r="D28" s="111" t="e">
        <f t="shared" si="1"/>
        <v>#DIV/0!</v>
      </c>
      <c r="E28" s="90">
        <f t="shared" si="2"/>
        <v>0</v>
      </c>
      <c r="F28" s="109">
        <f t="shared" si="3"/>
        <v>0</v>
      </c>
      <c r="G28" s="109">
        <f t="shared" si="3"/>
        <v>0</v>
      </c>
      <c r="H28" s="109">
        <f t="shared" si="3"/>
        <v>0</v>
      </c>
      <c r="I28" s="109">
        <f t="shared" si="3"/>
        <v>0</v>
      </c>
      <c r="J28" s="109">
        <f t="shared" si="3"/>
        <v>0</v>
      </c>
      <c r="K28" s="109">
        <f t="shared" si="8"/>
        <v>0</v>
      </c>
      <c r="L28" s="109">
        <f t="shared" si="9"/>
        <v>0</v>
      </c>
      <c r="M28" s="109">
        <f t="shared" si="4"/>
        <v>0</v>
      </c>
      <c r="N28" s="109">
        <f t="shared" si="4"/>
        <v>0</v>
      </c>
      <c r="O28" s="90">
        <f t="shared" si="4"/>
        <v>0</v>
      </c>
      <c r="P28" s="109">
        <f t="shared" si="4"/>
        <v>0</v>
      </c>
      <c r="Q28" s="109">
        <f t="shared" si="4"/>
        <v>0</v>
      </c>
      <c r="R28" s="109">
        <f t="shared" si="4"/>
        <v>0</v>
      </c>
      <c r="S28" s="109">
        <f t="shared" si="4"/>
        <v>0</v>
      </c>
      <c r="T28" s="109">
        <f t="shared" si="4"/>
        <v>0</v>
      </c>
      <c r="U28" s="109">
        <f t="shared" si="4"/>
        <v>0</v>
      </c>
      <c r="V28" s="109" t="e">
        <f t="shared" si="5"/>
        <v>#DIV/0!</v>
      </c>
      <c r="W28" s="109">
        <f t="shared" si="6"/>
        <v>0</v>
      </c>
      <c r="X28" s="109">
        <f t="shared" si="6"/>
        <v>0</v>
      </c>
      <c r="Y28" s="109">
        <f t="shared" si="6"/>
        <v>0</v>
      </c>
      <c r="Z28" s="109">
        <f t="shared" si="6"/>
        <v>0</v>
      </c>
      <c r="AA28" s="109">
        <f t="shared" si="6"/>
        <v>0</v>
      </c>
      <c r="AB28" s="109">
        <f t="shared" si="6"/>
        <v>0</v>
      </c>
      <c r="AC28" s="109">
        <f t="shared" si="6"/>
        <v>0</v>
      </c>
      <c r="AD28" s="109">
        <f t="shared" si="6"/>
        <v>0</v>
      </c>
      <c r="AE28" s="109">
        <f t="shared" si="6"/>
        <v>0</v>
      </c>
      <c r="AF28" s="126">
        <f t="shared" si="6"/>
        <v>0</v>
      </c>
      <c r="AG28" s="126">
        <f t="shared" si="6"/>
        <v>0</v>
      </c>
      <c r="AH28" s="126">
        <f t="shared" si="6"/>
        <v>0</v>
      </c>
      <c r="AI28" s="126">
        <f t="shared" si="6"/>
        <v>0</v>
      </c>
      <c r="AJ28" s="126">
        <f t="shared" si="6"/>
        <v>0</v>
      </c>
      <c r="AK28" s="126">
        <f t="shared" si="6"/>
        <v>0</v>
      </c>
      <c r="AL28" s="126">
        <f t="shared" si="6"/>
        <v>0</v>
      </c>
      <c r="AM28" s="126">
        <f t="shared" si="6"/>
        <v>0</v>
      </c>
      <c r="AN28" s="126">
        <f t="shared" si="6"/>
        <v>0</v>
      </c>
      <c r="AO28" s="126">
        <f t="shared" si="6"/>
        <v>0</v>
      </c>
      <c r="AP28" s="126">
        <f t="shared" si="6"/>
        <v>0</v>
      </c>
      <c r="AQ28" s="126">
        <f t="shared" si="6"/>
        <v>0</v>
      </c>
      <c r="AR28" s="126">
        <f t="shared" si="6"/>
        <v>0</v>
      </c>
      <c r="AS28" s="126">
        <f t="shared" si="6"/>
        <v>0</v>
      </c>
      <c r="AT28" s="113">
        <f t="shared" si="7"/>
        <v>0</v>
      </c>
      <c r="AU28" s="182" t="e">
        <f t="shared" si="10"/>
        <v>#DIV/0!</v>
      </c>
      <c r="AV28" s="183" t="e">
        <f t="shared" si="11"/>
        <v>#DIV/0!</v>
      </c>
    </row>
    <row r="29" spans="1:48" x14ac:dyDescent="0.25">
      <c r="A29" s="124" t="str">
        <f>A10</f>
        <v>x</v>
      </c>
      <c r="B29" s="90">
        <f t="shared" si="0"/>
        <v>0</v>
      </c>
      <c r="C29" s="127"/>
      <c r="D29" s="111" t="e">
        <f t="shared" si="1"/>
        <v>#DIV/0!</v>
      </c>
      <c r="E29" s="90">
        <f t="shared" si="2"/>
        <v>0</v>
      </c>
      <c r="F29" s="109">
        <f t="shared" si="3"/>
        <v>0</v>
      </c>
      <c r="G29" s="109">
        <f t="shared" si="3"/>
        <v>0</v>
      </c>
      <c r="H29" s="109">
        <f t="shared" si="3"/>
        <v>0</v>
      </c>
      <c r="I29" s="109">
        <f t="shared" si="3"/>
        <v>0</v>
      </c>
      <c r="J29" s="109">
        <f t="shared" si="3"/>
        <v>0</v>
      </c>
      <c r="K29" s="109">
        <f t="shared" si="8"/>
        <v>0</v>
      </c>
      <c r="L29" s="109">
        <f t="shared" si="9"/>
        <v>0</v>
      </c>
      <c r="M29" s="109">
        <f t="shared" si="4"/>
        <v>0</v>
      </c>
      <c r="N29" s="109">
        <f t="shared" si="4"/>
        <v>0</v>
      </c>
      <c r="O29" s="90">
        <f t="shared" si="4"/>
        <v>0</v>
      </c>
      <c r="P29" s="109">
        <f t="shared" si="4"/>
        <v>0</v>
      </c>
      <c r="Q29" s="109">
        <f t="shared" si="4"/>
        <v>0</v>
      </c>
      <c r="R29" s="109">
        <f t="shared" si="4"/>
        <v>0</v>
      </c>
      <c r="S29" s="109">
        <f t="shared" si="4"/>
        <v>0</v>
      </c>
      <c r="T29" s="109">
        <f t="shared" si="4"/>
        <v>0</v>
      </c>
      <c r="U29" s="109">
        <f t="shared" si="4"/>
        <v>0</v>
      </c>
      <c r="V29" s="109" t="e">
        <f t="shared" si="5"/>
        <v>#DIV/0!</v>
      </c>
      <c r="W29" s="109">
        <f t="shared" si="6"/>
        <v>0</v>
      </c>
      <c r="X29" s="109">
        <f t="shared" si="6"/>
        <v>0</v>
      </c>
      <c r="Y29" s="109">
        <f t="shared" si="6"/>
        <v>0</v>
      </c>
      <c r="Z29" s="109">
        <f t="shared" si="6"/>
        <v>0</v>
      </c>
      <c r="AA29" s="109">
        <f t="shared" si="6"/>
        <v>0</v>
      </c>
      <c r="AB29" s="109">
        <f t="shared" si="6"/>
        <v>0</v>
      </c>
      <c r="AC29" s="109">
        <f t="shared" si="6"/>
        <v>0</v>
      </c>
      <c r="AD29" s="109">
        <f t="shared" si="6"/>
        <v>0</v>
      </c>
      <c r="AE29" s="109">
        <f t="shared" si="6"/>
        <v>0</v>
      </c>
      <c r="AF29" s="126">
        <f t="shared" si="6"/>
        <v>0</v>
      </c>
      <c r="AG29" s="126">
        <f t="shared" si="6"/>
        <v>0</v>
      </c>
      <c r="AH29" s="126">
        <f t="shared" si="6"/>
        <v>0</v>
      </c>
      <c r="AI29" s="126">
        <f t="shared" si="6"/>
        <v>0</v>
      </c>
      <c r="AJ29" s="126">
        <f t="shared" si="6"/>
        <v>0</v>
      </c>
      <c r="AK29" s="126">
        <f t="shared" si="6"/>
        <v>0</v>
      </c>
      <c r="AL29" s="126">
        <f t="shared" si="6"/>
        <v>0</v>
      </c>
      <c r="AM29" s="126">
        <f t="shared" si="6"/>
        <v>0</v>
      </c>
      <c r="AN29" s="126">
        <f t="shared" si="6"/>
        <v>0</v>
      </c>
      <c r="AO29" s="126">
        <f t="shared" si="6"/>
        <v>0</v>
      </c>
      <c r="AP29" s="126">
        <f t="shared" si="6"/>
        <v>0</v>
      </c>
      <c r="AQ29" s="126">
        <f t="shared" si="6"/>
        <v>0</v>
      </c>
      <c r="AR29" s="126">
        <f t="shared" si="6"/>
        <v>0</v>
      </c>
      <c r="AS29" s="126">
        <f t="shared" si="6"/>
        <v>0</v>
      </c>
      <c r="AT29" s="113">
        <f t="shared" si="7"/>
        <v>0</v>
      </c>
      <c r="AU29" s="182" t="e">
        <f t="shared" si="10"/>
        <v>#DIV/0!</v>
      </c>
      <c r="AV29" s="183" t="e">
        <f t="shared" si="11"/>
        <v>#DIV/0!</v>
      </c>
    </row>
    <row r="30" spans="1:48" x14ac:dyDescent="0.25">
      <c r="A30" s="124" t="str">
        <f t="shared" ref="A30:A40" si="12">A11</f>
        <v>x</v>
      </c>
      <c r="B30" s="90">
        <f t="shared" si="0"/>
        <v>0</v>
      </c>
      <c r="C30" s="127"/>
      <c r="D30" s="111" t="e">
        <f t="shared" si="1"/>
        <v>#DIV/0!</v>
      </c>
      <c r="E30" s="90">
        <f t="shared" si="2"/>
        <v>0</v>
      </c>
      <c r="F30" s="109">
        <f t="shared" si="3"/>
        <v>0</v>
      </c>
      <c r="G30" s="109">
        <f t="shared" si="3"/>
        <v>0</v>
      </c>
      <c r="H30" s="109">
        <f t="shared" si="3"/>
        <v>0</v>
      </c>
      <c r="I30" s="109">
        <f t="shared" si="3"/>
        <v>0</v>
      </c>
      <c r="J30" s="109">
        <f t="shared" si="3"/>
        <v>0</v>
      </c>
      <c r="K30" s="109">
        <f t="shared" si="8"/>
        <v>0</v>
      </c>
      <c r="L30" s="109">
        <f t="shared" si="9"/>
        <v>0</v>
      </c>
      <c r="M30" s="109">
        <f t="shared" si="4"/>
        <v>0</v>
      </c>
      <c r="N30" s="109">
        <f t="shared" si="4"/>
        <v>0</v>
      </c>
      <c r="O30" s="90">
        <f t="shared" si="4"/>
        <v>0</v>
      </c>
      <c r="P30" s="109">
        <f t="shared" si="4"/>
        <v>0</v>
      </c>
      <c r="Q30" s="109">
        <f t="shared" si="4"/>
        <v>0</v>
      </c>
      <c r="R30" s="109">
        <f t="shared" si="4"/>
        <v>0</v>
      </c>
      <c r="S30" s="109">
        <f t="shared" si="4"/>
        <v>0</v>
      </c>
      <c r="T30" s="109">
        <f t="shared" si="4"/>
        <v>0</v>
      </c>
      <c r="U30" s="109">
        <f t="shared" si="4"/>
        <v>0</v>
      </c>
      <c r="V30" s="109" t="e">
        <f t="shared" si="5"/>
        <v>#DIV/0!</v>
      </c>
      <c r="W30" s="109">
        <f t="shared" si="6"/>
        <v>0</v>
      </c>
      <c r="X30" s="109">
        <f t="shared" si="6"/>
        <v>0</v>
      </c>
      <c r="Y30" s="109">
        <f t="shared" si="6"/>
        <v>0</v>
      </c>
      <c r="Z30" s="109">
        <f t="shared" si="6"/>
        <v>0</v>
      </c>
      <c r="AA30" s="109">
        <f t="shared" si="6"/>
        <v>0</v>
      </c>
      <c r="AB30" s="109">
        <f t="shared" si="6"/>
        <v>0</v>
      </c>
      <c r="AC30" s="109">
        <f t="shared" si="6"/>
        <v>0</v>
      </c>
      <c r="AD30" s="109">
        <f t="shared" si="6"/>
        <v>0</v>
      </c>
      <c r="AE30" s="109">
        <f t="shared" si="6"/>
        <v>0</v>
      </c>
      <c r="AF30" s="126">
        <f t="shared" si="6"/>
        <v>0</v>
      </c>
      <c r="AG30" s="126">
        <f t="shared" si="6"/>
        <v>0</v>
      </c>
      <c r="AH30" s="126">
        <f t="shared" si="6"/>
        <v>0</v>
      </c>
      <c r="AI30" s="126">
        <f t="shared" si="6"/>
        <v>0</v>
      </c>
      <c r="AJ30" s="126">
        <f t="shared" si="6"/>
        <v>0</v>
      </c>
      <c r="AK30" s="126">
        <f t="shared" si="6"/>
        <v>0</v>
      </c>
      <c r="AL30" s="126">
        <f t="shared" si="6"/>
        <v>0</v>
      </c>
      <c r="AM30" s="126">
        <f t="shared" si="6"/>
        <v>0</v>
      </c>
      <c r="AN30" s="126">
        <f t="shared" si="6"/>
        <v>0</v>
      </c>
      <c r="AO30" s="126">
        <f t="shared" si="6"/>
        <v>0</v>
      </c>
      <c r="AP30" s="126">
        <f t="shared" si="6"/>
        <v>0</v>
      </c>
      <c r="AQ30" s="126">
        <f t="shared" si="6"/>
        <v>0</v>
      </c>
      <c r="AR30" s="126">
        <f t="shared" si="6"/>
        <v>0</v>
      </c>
      <c r="AS30" s="126">
        <f t="shared" si="6"/>
        <v>0</v>
      </c>
      <c r="AT30" s="113">
        <f t="shared" si="7"/>
        <v>0</v>
      </c>
      <c r="AU30" s="182" t="e">
        <f t="shared" si="10"/>
        <v>#DIV/0!</v>
      </c>
      <c r="AV30" s="183" t="e">
        <f t="shared" si="11"/>
        <v>#DIV/0!</v>
      </c>
    </row>
    <row r="31" spans="1:48" x14ac:dyDescent="0.25">
      <c r="A31" s="124" t="str">
        <f t="shared" si="12"/>
        <v>x</v>
      </c>
      <c r="B31" s="90">
        <f t="shared" si="0"/>
        <v>0</v>
      </c>
      <c r="C31" s="127"/>
      <c r="D31" s="111" t="e">
        <f t="shared" si="1"/>
        <v>#DIV/0!</v>
      </c>
      <c r="E31" s="90">
        <f t="shared" si="2"/>
        <v>0</v>
      </c>
      <c r="F31" s="109">
        <f t="shared" si="3"/>
        <v>0</v>
      </c>
      <c r="G31" s="109">
        <f t="shared" si="3"/>
        <v>0</v>
      </c>
      <c r="H31" s="109">
        <f t="shared" si="3"/>
        <v>0</v>
      </c>
      <c r="I31" s="109">
        <f t="shared" si="3"/>
        <v>0</v>
      </c>
      <c r="J31" s="109">
        <f t="shared" si="3"/>
        <v>0</v>
      </c>
      <c r="K31" s="109">
        <f t="shared" si="8"/>
        <v>0</v>
      </c>
      <c r="L31" s="109">
        <f t="shared" si="9"/>
        <v>0</v>
      </c>
      <c r="M31" s="109">
        <f t="shared" si="4"/>
        <v>0</v>
      </c>
      <c r="N31" s="109">
        <f t="shared" si="4"/>
        <v>0</v>
      </c>
      <c r="O31" s="90">
        <f t="shared" si="4"/>
        <v>0</v>
      </c>
      <c r="P31" s="109">
        <f t="shared" si="4"/>
        <v>0</v>
      </c>
      <c r="Q31" s="109">
        <f t="shared" si="4"/>
        <v>0</v>
      </c>
      <c r="R31" s="109">
        <f t="shared" si="4"/>
        <v>0</v>
      </c>
      <c r="S31" s="109">
        <f t="shared" si="4"/>
        <v>0</v>
      </c>
      <c r="T31" s="109">
        <f t="shared" si="4"/>
        <v>0</v>
      </c>
      <c r="U31" s="109">
        <f t="shared" si="4"/>
        <v>0</v>
      </c>
      <c r="V31" s="109" t="e">
        <f t="shared" si="5"/>
        <v>#DIV/0!</v>
      </c>
      <c r="W31" s="109">
        <f t="shared" si="6"/>
        <v>0</v>
      </c>
      <c r="X31" s="109">
        <f t="shared" si="6"/>
        <v>0</v>
      </c>
      <c r="Y31" s="109">
        <f t="shared" si="6"/>
        <v>0</v>
      </c>
      <c r="Z31" s="109">
        <f t="shared" si="6"/>
        <v>0</v>
      </c>
      <c r="AA31" s="109">
        <f t="shared" si="6"/>
        <v>0</v>
      </c>
      <c r="AB31" s="109">
        <f t="shared" si="6"/>
        <v>0</v>
      </c>
      <c r="AC31" s="109">
        <f t="shared" si="6"/>
        <v>0</v>
      </c>
      <c r="AD31" s="109">
        <f t="shared" si="6"/>
        <v>0</v>
      </c>
      <c r="AE31" s="109">
        <f t="shared" si="6"/>
        <v>0</v>
      </c>
      <c r="AF31" s="126">
        <f t="shared" si="6"/>
        <v>0</v>
      </c>
      <c r="AG31" s="126">
        <f t="shared" si="6"/>
        <v>0</v>
      </c>
      <c r="AH31" s="126">
        <f t="shared" si="6"/>
        <v>0</v>
      </c>
      <c r="AI31" s="126">
        <f t="shared" si="6"/>
        <v>0</v>
      </c>
      <c r="AJ31" s="126">
        <f t="shared" si="6"/>
        <v>0</v>
      </c>
      <c r="AK31" s="126">
        <f t="shared" si="6"/>
        <v>0</v>
      </c>
      <c r="AL31" s="126">
        <f t="shared" si="6"/>
        <v>0</v>
      </c>
      <c r="AM31" s="126">
        <f t="shared" si="6"/>
        <v>0</v>
      </c>
      <c r="AN31" s="126">
        <f t="shared" si="6"/>
        <v>0</v>
      </c>
      <c r="AO31" s="126">
        <f t="shared" si="6"/>
        <v>0</v>
      </c>
      <c r="AP31" s="126">
        <f t="shared" si="6"/>
        <v>0</v>
      </c>
      <c r="AQ31" s="126">
        <f t="shared" si="6"/>
        <v>0</v>
      </c>
      <c r="AR31" s="126">
        <f t="shared" si="6"/>
        <v>0</v>
      </c>
      <c r="AS31" s="126">
        <f t="shared" si="6"/>
        <v>0</v>
      </c>
      <c r="AT31" s="113">
        <f t="shared" si="7"/>
        <v>0</v>
      </c>
      <c r="AU31" s="182" t="e">
        <f t="shared" si="10"/>
        <v>#DIV/0!</v>
      </c>
      <c r="AV31" s="183" t="e">
        <f t="shared" si="11"/>
        <v>#DIV/0!</v>
      </c>
    </row>
    <row r="32" spans="1:48" x14ac:dyDescent="0.25">
      <c r="A32" s="124" t="str">
        <f t="shared" si="12"/>
        <v>x</v>
      </c>
      <c r="B32" s="90">
        <f t="shared" si="0"/>
        <v>0</v>
      </c>
      <c r="C32" s="127"/>
      <c r="D32" s="111" t="e">
        <f t="shared" si="1"/>
        <v>#DIV/0!</v>
      </c>
      <c r="E32" s="90">
        <f t="shared" si="2"/>
        <v>0</v>
      </c>
      <c r="F32" s="109">
        <f t="shared" si="3"/>
        <v>0</v>
      </c>
      <c r="G32" s="109">
        <f t="shared" si="3"/>
        <v>0</v>
      </c>
      <c r="H32" s="109">
        <f t="shared" si="3"/>
        <v>0</v>
      </c>
      <c r="I32" s="109">
        <f t="shared" si="3"/>
        <v>0</v>
      </c>
      <c r="J32" s="109">
        <f t="shared" si="3"/>
        <v>0</v>
      </c>
      <c r="K32" s="109">
        <f t="shared" si="8"/>
        <v>0</v>
      </c>
      <c r="L32" s="109">
        <f t="shared" si="9"/>
        <v>0</v>
      </c>
      <c r="M32" s="109">
        <f t="shared" si="4"/>
        <v>0</v>
      </c>
      <c r="N32" s="109">
        <f t="shared" si="4"/>
        <v>0</v>
      </c>
      <c r="O32" s="90">
        <f t="shared" si="4"/>
        <v>0</v>
      </c>
      <c r="P32" s="109">
        <f t="shared" si="4"/>
        <v>0</v>
      </c>
      <c r="Q32" s="109">
        <f t="shared" si="4"/>
        <v>0</v>
      </c>
      <c r="R32" s="109">
        <f t="shared" si="4"/>
        <v>0</v>
      </c>
      <c r="S32" s="109">
        <f t="shared" si="4"/>
        <v>0</v>
      </c>
      <c r="T32" s="109">
        <f t="shared" si="4"/>
        <v>0</v>
      </c>
      <c r="U32" s="109">
        <f t="shared" si="4"/>
        <v>0</v>
      </c>
      <c r="V32" s="109" t="e">
        <f t="shared" si="5"/>
        <v>#DIV/0!</v>
      </c>
      <c r="W32" s="109">
        <f t="shared" si="6"/>
        <v>0</v>
      </c>
      <c r="X32" s="109">
        <f t="shared" si="6"/>
        <v>0</v>
      </c>
      <c r="Y32" s="109">
        <f t="shared" si="6"/>
        <v>0</v>
      </c>
      <c r="Z32" s="109">
        <f t="shared" si="6"/>
        <v>0</v>
      </c>
      <c r="AA32" s="109">
        <f t="shared" si="6"/>
        <v>0</v>
      </c>
      <c r="AB32" s="109">
        <f t="shared" si="6"/>
        <v>0</v>
      </c>
      <c r="AC32" s="109">
        <f t="shared" si="6"/>
        <v>0</v>
      </c>
      <c r="AD32" s="109">
        <f t="shared" si="6"/>
        <v>0</v>
      </c>
      <c r="AE32" s="109">
        <f t="shared" si="6"/>
        <v>0</v>
      </c>
      <c r="AF32" s="126">
        <f t="shared" si="6"/>
        <v>0</v>
      </c>
      <c r="AG32" s="126">
        <f t="shared" si="6"/>
        <v>0</v>
      </c>
      <c r="AH32" s="126">
        <f t="shared" si="6"/>
        <v>0</v>
      </c>
      <c r="AI32" s="126">
        <f t="shared" si="6"/>
        <v>0</v>
      </c>
      <c r="AJ32" s="126">
        <f t="shared" si="6"/>
        <v>0</v>
      </c>
      <c r="AK32" s="126">
        <f t="shared" si="6"/>
        <v>0</v>
      </c>
      <c r="AL32" s="126">
        <f t="shared" si="6"/>
        <v>0</v>
      </c>
      <c r="AM32" s="128">
        <f t="shared" si="6"/>
        <v>0</v>
      </c>
      <c r="AN32" s="128">
        <f t="shared" si="6"/>
        <v>0</v>
      </c>
      <c r="AO32" s="128">
        <f t="shared" si="6"/>
        <v>0</v>
      </c>
      <c r="AP32" s="126">
        <f t="shared" si="6"/>
        <v>0</v>
      </c>
      <c r="AQ32" s="126">
        <f t="shared" si="6"/>
        <v>0</v>
      </c>
      <c r="AR32" s="126">
        <f t="shared" si="6"/>
        <v>0</v>
      </c>
      <c r="AS32" s="126">
        <f t="shared" si="6"/>
        <v>0</v>
      </c>
      <c r="AT32" s="113">
        <f t="shared" si="7"/>
        <v>0</v>
      </c>
      <c r="AU32" s="182" t="e">
        <f t="shared" si="10"/>
        <v>#DIV/0!</v>
      </c>
      <c r="AV32" s="183" t="e">
        <f t="shared" si="11"/>
        <v>#DIV/0!</v>
      </c>
    </row>
    <row r="33" spans="1:48" x14ac:dyDescent="0.25">
      <c r="A33" s="124" t="str">
        <f t="shared" si="12"/>
        <v>x</v>
      </c>
      <c r="B33" s="90">
        <f t="shared" si="0"/>
        <v>0</v>
      </c>
      <c r="C33" s="127"/>
      <c r="D33" s="111" t="e">
        <f t="shared" si="1"/>
        <v>#DIV/0!</v>
      </c>
      <c r="E33" s="90">
        <f t="shared" si="2"/>
        <v>0</v>
      </c>
      <c r="F33" s="109">
        <f t="shared" si="3"/>
        <v>0</v>
      </c>
      <c r="G33" s="109">
        <f t="shared" si="3"/>
        <v>0</v>
      </c>
      <c r="H33" s="109">
        <f t="shared" si="3"/>
        <v>0</v>
      </c>
      <c r="I33" s="109">
        <f t="shared" si="3"/>
        <v>0</v>
      </c>
      <c r="J33" s="109">
        <f t="shared" si="3"/>
        <v>0</v>
      </c>
      <c r="K33" s="109">
        <f t="shared" si="8"/>
        <v>0</v>
      </c>
      <c r="L33" s="109">
        <f t="shared" si="9"/>
        <v>0</v>
      </c>
      <c r="M33" s="109">
        <f t="shared" si="3"/>
        <v>0</v>
      </c>
      <c r="N33" s="109">
        <f t="shared" si="3"/>
        <v>0</v>
      </c>
      <c r="O33" s="90">
        <f t="shared" si="3"/>
        <v>0</v>
      </c>
      <c r="P33" s="109">
        <f t="shared" si="3"/>
        <v>0</v>
      </c>
      <c r="Q33" s="109">
        <f t="shared" si="3"/>
        <v>0</v>
      </c>
      <c r="R33" s="109">
        <f t="shared" si="4"/>
        <v>0</v>
      </c>
      <c r="S33" s="109">
        <f t="shared" si="4"/>
        <v>0</v>
      </c>
      <c r="T33" s="109">
        <f t="shared" si="4"/>
        <v>0</v>
      </c>
      <c r="U33" s="109">
        <f t="shared" si="4"/>
        <v>0</v>
      </c>
      <c r="V33" s="109" t="e">
        <f t="shared" si="5"/>
        <v>#DIV/0!</v>
      </c>
      <c r="W33" s="109">
        <f t="shared" si="6"/>
        <v>0</v>
      </c>
      <c r="X33" s="109">
        <f t="shared" si="6"/>
        <v>0</v>
      </c>
      <c r="Y33" s="109">
        <f t="shared" si="6"/>
        <v>0</v>
      </c>
      <c r="Z33" s="109">
        <f t="shared" si="6"/>
        <v>0</v>
      </c>
      <c r="AA33" s="109">
        <f t="shared" si="6"/>
        <v>0</v>
      </c>
      <c r="AB33" s="109">
        <f t="shared" si="6"/>
        <v>0</v>
      </c>
      <c r="AC33" s="109">
        <f t="shared" si="6"/>
        <v>0</v>
      </c>
      <c r="AD33" s="109">
        <f t="shared" si="6"/>
        <v>0</v>
      </c>
      <c r="AE33" s="109">
        <f t="shared" si="6"/>
        <v>0</v>
      </c>
      <c r="AF33" s="126">
        <f t="shared" si="6"/>
        <v>0</v>
      </c>
      <c r="AG33" s="126">
        <f t="shared" si="6"/>
        <v>0</v>
      </c>
      <c r="AH33" s="126">
        <f t="shared" si="6"/>
        <v>0</v>
      </c>
      <c r="AI33" s="126">
        <f t="shared" si="6"/>
        <v>0</v>
      </c>
      <c r="AJ33" s="126">
        <f t="shared" si="6"/>
        <v>0</v>
      </c>
      <c r="AK33" s="126">
        <f t="shared" si="6"/>
        <v>0</v>
      </c>
      <c r="AL33" s="126">
        <f t="shared" si="6"/>
        <v>0</v>
      </c>
      <c r="AM33" s="126">
        <f t="shared" si="6"/>
        <v>0</v>
      </c>
      <c r="AN33" s="126">
        <f t="shared" si="6"/>
        <v>0</v>
      </c>
      <c r="AO33" s="126">
        <f t="shared" si="6"/>
        <v>0</v>
      </c>
      <c r="AP33" s="126">
        <f t="shared" si="6"/>
        <v>0</v>
      </c>
      <c r="AQ33" s="126">
        <f t="shared" si="6"/>
        <v>0</v>
      </c>
      <c r="AR33" s="126">
        <f t="shared" si="6"/>
        <v>0</v>
      </c>
      <c r="AS33" s="126">
        <f t="shared" si="6"/>
        <v>0</v>
      </c>
      <c r="AT33" s="113">
        <f t="shared" si="7"/>
        <v>0</v>
      </c>
      <c r="AU33" s="182" t="e">
        <f t="shared" si="10"/>
        <v>#DIV/0!</v>
      </c>
      <c r="AV33" s="183" t="e">
        <f t="shared" si="11"/>
        <v>#DIV/0!</v>
      </c>
    </row>
    <row r="34" spans="1:48" x14ac:dyDescent="0.25">
      <c r="A34" s="124" t="str">
        <f t="shared" si="12"/>
        <v>x</v>
      </c>
      <c r="B34" s="90">
        <f t="shared" si="0"/>
        <v>0</v>
      </c>
      <c r="C34" s="127"/>
      <c r="D34" s="111" t="e">
        <f t="shared" si="1"/>
        <v>#DIV/0!</v>
      </c>
      <c r="E34" s="90">
        <f t="shared" si="2"/>
        <v>0</v>
      </c>
      <c r="F34" s="109">
        <f t="shared" si="3"/>
        <v>0</v>
      </c>
      <c r="G34" s="109">
        <f t="shared" si="3"/>
        <v>0</v>
      </c>
      <c r="H34" s="109">
        <f t="shared" si="3"/>
        <v>0</v>
      </c>
      <c r="I34" s="109">
        <f t="shared" si="3"/>
        <v>0</v>
      </c>
      <c r="J34" s="109">
        <f t="shared" si="3"/>
        <v>0</v>
      </c>
      <c r="K34" s="109">
        <f t="shared" si="8"/>
        <v>0</v>
      </c>
      <c r="L34" s="109">
        <f t="shared" si="9"/>
        <v>0</v>
      </c>
      <c r="M34" s="109">
        <f t="shared" si="3"/>
        <v>0</v>
      </c>
      <c r="N34" s="109">
        <f t="shared" si="3"/>
        <v>0</v>
      </c>
      <c r="O34" s="90">
        <f t="shared" si="3"/>
        <v>0</v>
      </c>
      <c r="P34" s="109">
        <f t="shared" si="3"/>
        <v>0</v>
      </c>
      <c r="Q34" s="109">
        <f t="shared" si="3"/>
        <v>0</v>
      </c>
      <c r="R34" s="109">
        <f t="shared" si="4"/>
        <v>0</v>
      </c>
      <c r="S34" s="109">
        <f t="shared" si="4"/>
        <v>0</v>
      </c>
      <c r="T34" s="109">
        <f t="shared" si="4"/>
        <v>0</v>
      </c>
      <c r="U34" s="109">
        <f t="shared" si="4"/>
        <v>0</v>
      </c>
      <c r="V34" s="109" t="e">
        <f t="shared" si="5"/>
        <v>#DIV/0!</v>
      </c>
      <c r="W34" s="109">
        <f t="shared" si="6"/>
        <v>0</v>
      </c>
      <c r="X34" s="109">
        <f t="shared" si="6"/>
        <v>0</v>
      </c>
      <c r="Y34" s="109">
        <f t="shared" si="6"/>
        <v>0</v>
      </c>
      <c r="Z34" s="109">
        <f t="shared" si="6"/>
        <v>0</v>
      </c>
      <c r="AA34" s="109">
        <f t="shared" si="6"/>
        <v>0</v>
      </c>
      <c r="AB34" s="109">
        <f t="shared" si="6"/>
        <v>0</v>
      </c>
      <c r="AC34" s="109">
        <f t="shared" si="6"/>
        <v>0</v>
      </c>
      <c r="AD34" s="109">
        <f t="shared" si="6"/>
        <v>0</v>
      </c>
      <c r="AE34" s="109">
        <f t="shared" si="6"/>
        <v>0</v>
      </c>
      <c r="AF34" s="126">
        <f t="shared" si="6"/>
        <v>0</v>
      </c>
      <c r="AG34" s="126">
        <f t="shared" si="6"/>
        <v>0</v>
      </c>
      <c r="AH34" s="126">
        <f t="shared" si="6"/>
        <v>0</v>
      </c>
      <c r="AI34" s="126">
        <f t="shared" si="6"/>
        <v>0</v>
      </c>
      <c r="AJ34" s="126">
        <f t="shared" si="6"/>
        <v>0</v>
      </c>
      <c r="AK34" s="126">
        <f t="shared" si="6"/>
        <v>0</v>
      </c>
      <c r="AL34" s="126">
        <f t="shared" si="6"/>
        <v>0</v>
      </c>
      <c r="AM34" s="126">
        <f t="shared" si="6"/>
        <v>0</v>
      </c>
      <c r="AN34" s="126">
        <f t="shared" si="6"/>
        <v>0</v>
      </c>
      <c r="AO34" s="126">
        <f t="shared" si="6"/>
        <v>0</v>
      </c>
      <c r="AP34" s="126">
        <f t="shared" si="6"/>
        <v>0</v>
      </c>
      <c r="AQ34" s="126">
        <f t="shared" si="6"/>
        <v>0</v>
      </c>
      <c r="AR34" s="126">
        <f t="shared" si="6"/>
        <v>0</v>
      </c>
      <c r="AS34" s="126">
        <f t="shared" si="6"/>
        <v>0</v>
      </c>
      <c r="AT34" s="113">
        <f t="shared" si="7"/>
        <v>0</v>
      </c>
      <c r="AU34" s="182" t="e">
        <f t="shared" si="10"/>
        <v>#DIV/0!</v>
      </c>
      <c r="AV34" s="183" t="e">
        <f t="shared" si="11"/>
        <v>#DIV/0!</v>
      </c>
    </row>
    <row r="35" spans="1:48" x14ac:dyDescent="0.25">
      <c r="A35" s="124" t="str">
        <f t="shared" si="12"/>
        <v>x</v>
      </c>
      <c r="B35" s="90">
        <f t="shared" si="0"/>
        <v>0</v>
      </c>
      <c r="C35" s="127"/>
      <c r="D35" s="111" t="e">
        <f t="shared" si="1"/>
        <v>#DIV/0!</v>
      </c>
      <c r="E35" s="90">
        <f t="shared" si="2"/>
        <v>0</v>
      </c>
      <c r="F35" s="109">
        <f t="shared" si="3"/>
        <v>0</v>
      </c>
      <c r="G35" s="109">
        <f t="shared" si="3"/>
        <v>0</v>
      </c>
      <c r="H35" s="109">
        <f t="shared" si="3"/>
        <v>0</v>
      </c>
      <c r="I35" s="109">
        <f t="shared" si="3"/>
        <v>0</v>
      </c>
      <c r="J35" s="109">
        <f t="shared" si="3"/>
        <v>0</v>
      </c>
      <c r="K35" s="109">
        <f t="shared" si="8"/>
        <v>0</v>
      </c>
      <c r="L35" s="109">
        <f t="shared" si="9"/>
        <v>0</v>
      </c>
      <c r="M35" s="109">
        <f t="shared" si="3"/>
        <v>0</v>
      </c>
      <c r="N35" s="109">
        <f t="shared" si="3"/>
        <v>0</v>
      </c>
      <c r="O35" s="90">
        <f t="shared" si="3"/>
        <v>0</v>
      </c>
      <c r="P35" s="109">
        <f t="shared" si="3"/>
        <v>0</v>
      </c>
      <c r="Q35" s="109">
        <f t="shared" si="3"/>
        <v>0</v>
      </c>
      <c r="R35" s="109">
        <f t="shared" si="4"/>
        <v>0</v>
      </c>
      <c r="S35" s="109">
        <f t="shared" si="4"/>
        <v>0</v>
      </c>
      <c r="T35" s="109">
        <f t="shared" si="4"/>
        <v>0</v>
      </c>
      <c r="U35" s="109">
        <f t="shared" si="4"/>
        <v>0</v>
      </c>
      <c r="V35" s="109" t="e">
        <f t="shared" si="5"/>
        <v>#DIV/0!</v>
      </c>
      <c r="W35" s="109">
        <f t="shared" si="6"/>
        <v>0</v>
      </c>
      <c r="X35" s="109">
        <f t="shared" si="6"/>
        <v>0</v>
      </c>
      <c r="Y35" s="109">
        <f t="shared" si="6"/>
        <v>0</v>
      </c>
      <c r="Z35" s="109">
        <f t="shared" si="6"/>
        <v>0</v>
      </c>
      <c r="AA35" s="109">
        <f t="shared" si="6"/>
        <v>0</v>
      </c>
      <c r="AB35" s="109">
        <f t="shared" si="6"/>
        <v>0</v>
      </c>
      <c r="AC35" s="109">
        <f t="shared" si="6"/>
        <v>0</v>
      </c>
      <c r="AD35" s="109">
        <f t="shared" si="6"/>
        <v>0</v>
      </c>
      <c r="AE35" s="109">
        <f t="shared" si="6"/>
        <v>0</v>
      </c>
      <c r="AF35" s="126">
        <f t="shared" si="6"/>
        <v>0</v>
      </c>
      <c r="AG35" s="126">
        <f t="shared" si="6"/>
        <v>0</v>
      </c>
      <c r="AH35" s="126">
        <f t="shared" si="6"/>
        <v>0</v>
      </c>
      <c r="AI35" s="126">
        <f t="shared" si="6"/>
        <v>0</v>
      </c>
      <c r="AJ35" s="126">
        <f t="shared" si="6"/>
        <v>0</v>
      </c>
      <c r="AK35" s="126">
        <f t="shared" si="6"/>
        <v>0</v>
      </c>
      <c r="AL35" s="126">
        <f t="shared" si="6"/>
        <v>0</v>
      </c>
      <c r="AM35" s="126">
        <f t="shared" si="6"/>
        <v>0</v>
      </c>
      <c r="AN35" s="126">
        <f t="shared" si="6"/>
        <v>0</v>
      </c>
      <c r="AO35" s="126">
        <f t="shared" si="6"/>
        <v>0</v>
      </c>
      <c r="AP35" s="126">
        <f t="shared" si="6"/>
        <v>0</v>
      </c>
      <c r="AQ35" s="126">
        <f t="shared" si="6"/>
        <v>0</v>
      </c>
      <c r="AR35" s="126">
        <f t="shared" si="6"/>
        <v>0</v>
      </c>
      <c r="AS35" s="126">
        <f t="shared" si="6"/>
        <v>0</v>
      </c>
      <c r="AT35" s="113">
        <f t="shared" si="7"/>
        <v>0</v>
      </c>
      <c r="AU35" s="182" t="e">
        <f t="shared" si="10"/>
        <v>#DIV/0!</v>
      </c>
      <c r="AV35" s="183" t="e">
        <f t="shared" si="11"/>
        <v>#DIV/0!</v>
      </c>
    </row>
    <row r="36" spans="1:48" x14ac:dyDescent="0.25">
      <c r="A36" s="124" t="str">
        <f>A17</f>
        <v>x</v>
      </c>
      <c r="B36" s="90">
        <f t="shared" si="0"/>
        <v>0</v>
      </c>
      <c r="C36" s="127"/>
      <c r="D36" s="111" t="e">
        <f t="shared" si="1"/>
        <v>#DIV/0!</v>
      </c>
      <c r="E36" s="90">
        <f t="shared" si="2"/>
        <v>0</v>
      </c>
      <c r="F36" s="109">
        <f t="shared" si="3"/>
        <v>0</v>
      </c>
      <c r="G36" s="109">
        <f t="shared" si="3"/>
        <v>0</v>
      </c>
      <c r="H36" s="109">
        <f t="shared" si="3"/>
        <v>0</v>
      </c>
      <c r="I36" s="109">
        <f t="shared" si="3"/>
        <v>0</v>
      </c>
      <c r="J36" s="109">
        <f t="shared" si="3"/>
        <v>0</v>
      </c>
      <c r="K36" s="109">
        <f t="shared" si="8"/>
        <v>0</v>
      </c>
      <c r="L36" s="109">
        <f t="shared" si="9"/>
        <v>0</v>
      </c>
      <c r="M36" s="109">
        <f t="shared" si="3"/>
        <v>0</v>
      </c>
      <c r="N36" s="109">
        <f t="shared" si="3"/>
        <v>0</v>
      </c>
      <c r="O36" s="90">
        <f t="shared" si="3"/>
        <v>0</v>
      </c>
      <c r="P36" s="109">
        <f t="shared" si="3"/>
        <v>0</v>
      </c>
      <c r="Q36" s="109">
        <f t="shared" si="3"/>
        <v>0</v>
      </c>
      <c r="R36" s="109">
        <f t="shared" si="4"/>
        <v>0</v>
      </c>
      <c r="S36" s="109">
        <f t="shared" si="4"/>
        <v>0</v>
      </c>
      <c r="T36" s="109">
        <f t="shared" si="4"/>
        <v>0</v>
      </c>
      <c r="U36" s="109">
        <f t="shared" si="4"/>
        <v>0</v>
      </c>
      <c r="V36" s="109" t="e">
        <f t="shared" si="5"/>
        <v>#DIV/0!</v>
      </c>
      <c r="W36" s="109">
        <f t="shared" si="6"/>
        <v>0</v>
      </c>
      <c r="X36" s="109">
        <f t="shared" si="6"/>
        <v>0</v>
      </c>
      <c r="Y36" s="109">
        <f t="shared" ref="Y36:AS36" si="13">$E36*Y17</f>
        <v>0</v>
      </c>
      <c r="Z36" s="109">
        <f t="shared" si="13"/>
        <v>0</v>
      </c>
      <c r="AA36" s="109">
        <f t="shared" si="13"/>
        <v>0</v>
      </c>
      <c r="AB36" s="109">
        <f t="shared" si="13"/>
        <v>0</v>
      </c>
      <c r="AC36" s="109">
        <f t="shared" si="13"/>
        <v>0</v>
      </c>
      <c r="AD36" s="109">
        <f t="shared" si="13"/>
        <v>0</v>
      </c>
      <c r="AE36" s="109">
        <f t="shared" si="13"/>
        <v>0</v>
      </c>
      <c r="AF36" s="126">
        <f t="shared" si="13"/>
        <v>0</v>
      </c>
      <c r="AG36" s="126">
        <f t="shared" si="13"/>
        <v>0</v>
      </c>
      <c r="AH36" s="126">
        <f t="shared" si="13"/>
        <v>0</v>
      </c>
      <c r="AI36" s="126">
        <f t="shared" si="13"/>
        <v>0</v>
      </c>
      <c r="AJ36" s="126">
        <f t="shared" si="13"/>
        <v>0</v>
      </c>
      <c r="AK36" s="126">
        <f t="shared" si="13"/>
        <v>0</v>
      </c>
      <c r="AL36" s="126">
        <f t="shared" si="13"/>
        <v>0</v>
      </c>
      <c r="AM36" s="126">
        <f t="shared" si="13"/>
        <v>0</v>
      </c>
      <c r="AN36" s="126">
        <f t="shared" si="13"/>
        <v>0</v>
      </c>
      <c r="AO36" s="126">
        <f t="shared" si="13"/>
        <v>0</v>
      </c>
      <c r="AP36" s="126">
        <f t="shared" si="13"/>
        <v>0</v>
      </c>
      <c r="AQ36" s="126">
        <f t="shared" si="13"/>
        <v>0</v>
      </c>
      <c r="AR36" s="126">
        <f t="shared" si="13"/>
        <v>0</v>
      </c>
      <c r="AS36" s="126">
        <f t="shared" si="13"/>
        <v>0</v>
      </c>
      <c r="AT36" s="113">
        <f t="shared" si="7"/>
        <v>0</v>
      </c>
      <c r="AU36" s="182" t="e">
        <f t="shared" si="10"/>
        <v>#DIV/0!</v>
      </c>
      <c r="AV36" s="183" t="e">
        <f t="shared" si="11"/>
        <v>#DIV/0!</v>
      </c>
    </row>
    <row r="37" spans="1:48" x14ac:dyDescent="0.25">
      <c r="A37" s="124" t="str">
        <f t="shared" si="12"/>
        <v>x</v>
      </c>
      <c r="B37" s="90">
        <f t="shared" si="0"/>
        <v>0</v>
      </c>
      <c r="C37" s="127"/>
      <c r="D37" s="111" t="e">
        <f t="shared" si="1"/>
        <v>#DIV/0!</v>
      </c>
      <c r="E37" s="90">
        <f t="shared" si="2"/>
        <v>0</v>
      </c>
      <c r="F37" s="109">
        <f t="shared" si="3"/>
        <v>0</v>
      </c>
      <c r="G37" s="109">
        <f t="shared" si="3"/>
        <v>0</v>
      </c>
      <c r="H37" s="109">
        <f t="shared" si="3"/>
        <v>0</v>
      </c>
      <c r="I37" s="109">
        <f t="shared" si="3"/>
        <v>0</v>
      </c>
      <c r="J37" s="109">
        <f t="shared" si="3"/>
        <v>0</v>
      </c>
      <c r="K37" s="109">
        <f t="shared" si="8"/>
        <v>0</v>
      </c>
      <c r="L37" s="109">
        <f t="shared" si="9"/>
        <v>0</v>
      </c>
      <c r="M37" s="109">
        <f t="shared" si="3"/>
        <v>0</v>
      </c>
      <c r="N37" s="109">
        <f t="shared" si="3"/>
        <v>0</v>
      </c>
      <c r="O37" s="90">
        <f t="shared" si="3"/>
        <v>0</v>
      </c>
      <c r="P37" s="109">
        <f t="shared" si="3"/>
        <v>0</v>
      </c>
      <c r="Q37" s="109">
        <f t="shared" si="3"/>
        <v>0</v>
      </c>
      <c r="R37" s="109">
        <f t="shared" si="4"/>
        <v>0</v>
      </c>
      <c r="S37" s="109">
        <f t="shared" si="4"/>
        <v>0</v>
      </c>
      <c r="T37" s="109">
        <f t="shared" si="4"/>
        <v>0</v>
      </c>
      <c r="U37" s="109">
        <f t="shared" si="4"/>
        <v>0</v>
      </c>
      <c r="V37" s="109" t="e">
        <f t="shared" si="5"/>
        <v>#DIV/0!</v>
      </c>
      <c r="W37" s="109">
        <f t="shared" ref="W37:AS40" si="14">$E37*W18</f>
        <v>0</v>
      </c>
      <c r="X37" s="109">
        <f t="shared" si="14"/>
        <v>0</v>
      </c>
      <c r="Y37" s="109">
        <f t="shared" si="14"/>
        <v>0</v>
      </c>
      <c r="Z37" s="109">
        <f t="shared" si="14"/>
        <v>0</v>
      </c>
      <c r="AA37" s="109">
        <f t="shared" si="14"/>
        <v>0</v>
      </c>
      <c r="AB37" s="109">
        <f t="shared" si="14"/>
        <v>0</v>
      </c>
      <c r="AC37" s="109">
        <f t="shared" si="14"/>
        <v>0</v>
      </c>
      <c r="AD37" s="109">
        <f t="shared" si="14"/>
        <v>0</v>
      </c>
      <c r="AE37" s="109">
        <f t="shared" si="14"/>
        <v>0</v>
      </c>
      <c r="AF37" s="126">
        <f t="shared" si="14"/>
        <v>0</v>
      </c>
      <c r="AG37" s="126">
        <f t="shared" si="14"/>
        <v>0</v>
      </c>
      <c r="AH37" s="126">
        <f t="shared" si="14"/>
        <v>0</v>
      </c>
      <c r="AI37" s="126">
        <f t="shared" si="14"/>
        <v>0</v>
      </c>
      <c r="AJ37" s="126">
        <f t="shared" si="14"/>
        <v>0</v>
      </c>
      <c r="AK37" s="126">
        <f t="shared" si="14"/>
        <v>0</v>
      </c>
      <c r="AL37" s="126">
        <f t="shared" si="14"/>
        <v>0</v>
      </c>
      <c r="AM37" s="126">
        <f t="shared" si="14"/>
        <v>0</v>
      </c>
      <c r="AN37" s="126">
        <f t="shared" si="14"/>
        <v>0</v>
      </c>
      <c r="AO37" s="126">
        <f t="shared" si="14"/>
        <v>0</v>
      </c>
      <c r="AP37" s="126">
        <f t="shared" si="14"/>
        <v>0</v>
      </c>
      <c r="AQ37" s="126">
        <f t="shared" si="14"/>
        <v>0</v>
      </c>
      <c r="AR37" s="126">
        <f t="shared" si="14"/>
        <v>0</v>
      </c>
      <c r="AS37" s="126">
        <f t="shared" si="14"/>
        <v>0</v>
      </c>
      <c r="AT37" s="113">
        <f t="shared" si="7"/>
        <v>0</v>
      </c>
      <c r="AU37" s="182" t="e">
        <f t="shared" si="10"/>
        <v>#DIV/0!</v>
      </c>
      <c r="AV37" s="183" t="e">
        <f t="shared" si="11"/>
        <v>#DIV/0!</v>
      </c>
    </row>
    <row r="38" spans="1:48" x14ac:dyDescent="0.25">
      <c r="A38" s="124" t="str">
        <f t="shared" si="12"/>
        <v>x</v>
      </c>
      <c r="B38" s="90">
        <f t="shared" si="0"/>
        <v>0</v>
      </c>
      <c r="C38" s="127"/>
      <c r="D38" s="111" t="e">
        <f t="shared" si="1"/>
        <v>#DIV/0!</v>
      </c>
      <c r="E38" s="90">
        <f t="shared" si="2"/>
        <v>0</v>
      </c>
      <c r="F38" s="109">
        <f t="shared" si="3"/>
        <v>0</v>
      </c>
      <c r="G38" s="109">
        <f t="shared" si="3"/>
        <v>0</v>
      </c>
      <c r="H38" s="109">
        <f t="shared" si="3"/>
        <v>0</v>
      </c>
      <c r="I38" s="109">
        <f t="shared" si="3"/>
        <v>0</v>
      </c>
      <c r="J38" s="109">
        <f t="shared" si="3"/>
        <v>0</v>
      </c>
      <c r="K38" s="109">
        <f t="shared" si="8"/>
        <v>0</v>
      </c>
      <c r="L38" s="109">
        <f t="shared" si="9"/>
        <v>0</v>
      </c>
      <c r="M38" s="109">
        <f t="shared" si="3"/>
        <v>0</v>
      </c>
      <c r="N38" s="109">
        <f t="shared" si="3"/>
        <v>0</v>
      </c>
      <c r="O38" s="90">
        <f t="shared" si="3"/>
        <v>0</v>
      </c>
      <c r="P38" s="109">
        <f t="shared" si="3"/>
        <v>0</v>
      </c>
      <c r="Q38" s="109">
        <f t="shared" si="3"/>
        <v>0</v>
      </c>
      <c r="R38" s="109">
        <f t="shared" si="4"/>
        <v>0</v>
      </c>
      <c r="S38" s="109">
        <f t="shared" si="4"/>
        <v>0</v>
      </c>
      <c r="T38" s="109">
        <f t="shared" si="4"/>
        <v>0</v>
      </c>
      <c r="U38" s="109">
        <f t="shared" si="4"/>
        <v>0</v>
      </c>
      <c r="V38" s="109" t="e">
        <f t="shared" si="5"/>
        <v>#DIV/0!</v>
      </c>
      <c r="W38" s="109">
        <f t="shared" si="14"/>
        <v>0</v>
      </c>
      <c r="X38" s="109">
        <f t="shared" si="14"/>
        <v>0</v>
      </c>
      <c r="Y38" s="109">
        <f t="shared" si="14"/>
        <v>0</v>
      </c>
      <c r="Z38" s="109">
        <f t="shared" si="14"/>
        <v>0</v>
      </c>
      <c r="AA38" s="109">
        <f t="shared" si="14"/>
        <v>0</v>
      </c>
      <c r="AB38" s="109">
        <f t="shared" si="14"/>
        <v>0</v>
      </c>
      <c r="AC38" s="109">
        <f t="shared" si="14"/>
        <v>0</v>
      </c>
      <c r="AD38" s="109">
        <f t="shared" si="14"/>
        <v>0</v>
      </c>
      <c r="AE38" s="109">
        <f t="shared" si="14"/>
        <v>0</v>
      </c>
      <c r="AF38" s="126">
        <f t="shared" si="14"/>
        <v>0</v>
      </c>
      <c r="AG38" s="126">
        <f t="shared" si="14"/>
        <v>0</v>
      </c>
      <c r="AH38" s="126">
        <f t="shared" si="14"/>
        <v>0</v>
      </c>
      <c r="AI38" s="126">
        <f t="shared" si="14"/>
        <v>0</v>
      </c>
      <c r="AJ38" s="126">
        <f t="shared" si="14"/>
        <v>0</v>
      </c>
      <c r="AK38" s="126">
        <f t="shared" si="14"/>
        <v>0</v>
      </c>
      <c r="AL38" s="126">
        <f t="shared" si="14"/>
        <v>0</v>
      </c>
      <c r="AM38" s="126">
        <f t="shared" si="14"/>
        <v>0</v>
      </c>
      <c r="AN38" s="126">
        <f t="shared" si="14"/>
        <v>0</v>
      </c>
      <c r="AO38" s="126">
        <f t="shared" si="14"/>
        <v>0</v>
      </c>
      <c r="AP38" s="126">
        <f t="shared" si="14"/>
        <v>0</v>
      </c>
      <c r="AQ38" s="126">
        <f t="shared" si="14"/>
        <v>0</v>
      </c>
      <c r="AR38" s="126">
        <f t="shared" si="14"/>
        <v>0</v>
      </c>
      <c r="AS38" s="126">
        <f t="shared" si="14"/>
        <v>0</v>
      </c>
      <c r="AT38" s="113">
        <f t="shared" si="7"/>
        <v>0</v>
      </c>
      <c r="AU38" s="182" t="e">
        <f t="shared" si="10"/>
        <v>#DIV/0!</v>
      </c>
      <c r="AV38" s="183" t="e">
        <f t="shared" si="11"/>
        <v>#DIV/0!</v>
      </c>
    </row>
    <row r="39" spans="1:48" x14ac:dyDescent="0.25">
      <c r="A39" s="124" t="str">
        <f t="shared" si="12"/>
        <v>x</v>
      </c>
      <c r="B39" s="90">
        <f t="shared" si="0"/>
        <v>0</v>
      </c>
      <c r="C39" s="127"/>
      <c r="D39" s="111" t="e">
        <f t="shared" si="1"/>
        <v>#DIV/0!</v>
      </c>
      <c r="E39" s="90">
        <f t="shared" si="2"/>
        <v>0</v>
      </c>
      <c r="F39" s="109">
        <f t="shared" si="3"/>
        <v>0</v>
      </c>
      <c r="G39" s="109">
        <f t="shared" si="3"/>
        <v>0</v>
      </c>
      <c r="H39" s="109">
        <f t="shared" si="3"/>
        <v>0</v>
      </c>
      <c r="I39" s="109">
        <f t="shared" si="3"/>
        <v>0</v>
      </c>
      <c r="J39" s="109">
        <f t="shared" si="3"/>
        <v>0</v>
      </c>
      <c r="K39" s="109">
        <f t="shared" si="8"/>
        <v>0</v>
      </c>
      <c r="L39" s="109">
        <f t="shared" si="9"/>
        <v>0</v>
      </c>
      <c r="M39" s="109">
        <f t="shared" si="3"/>
        <v>0</v>
      </c>
      <c r="N39" s="109">
        <f t="shared" si="3"/>
        <v>0</v>
      </c>
      <c r="O39" s="90">
        <f t="shared" si="3"/>
        <v>0</v>
      </c>
      <c r="P39" s="109">
        <f t="shared" si="3"/>
        <v>0</v>
      </c>
      <c r="Q39" s="109">
        <f t="shared" si="3"/>
        <v>0</v>
      </c>
      <c r="R39" s="109">
        <f t="shared" si="4"/>
        <v>0</v>
      </c>
      <c r="S39" s="109">
        <f t="shared" si="4"/>
        <v>0</v>
      </c>
      <c r="T39" s="109">
        <f t="shared" si="4"/>
        <v>0</v>
      </c>
      <c r="U39" s="109">
        <f t="shared" si="4"/>
        <v>0</v>
      </c>
      <c r="V39" s="109" t="e">
        <f t="shared" si="5"/>
        <v>#DIV/0!</v>
      </c>
      <c r="W39" s="109">
        <f t="shared" si="14"/>
        <v>0</v>
      </c>
      <c r="X39" s="109">
        <f t="shared" si="14"/>
        <v>0</v>
      </c>
      <c r="Y39" s="109">
        <f t="shared" si="14"/>
        <v>0</v>
      </c>
      <c r="Z39" s="109">
        <f t="shared" si="14"/>
        <v>0</v>
      </c>
      <c r="AA39" s="109">
        <f t="shared" si="14"/>
        <v>0</v>
      </c>
      <c r="AB39" s="109">
        <f t="shared" si="14"/>
        <v>0</v>
      </c>
      <c r="AC39" s="109">
        <f t="shared" si="14"/>
        <v>0</v>
      </c>
      <c r="AD39" s="109">
        <f t="shared" si="14"/>
        <v>0</v>
      </c>
      <c r="AE39" s="109">
        <f t="shared" si="14"/>
        <v>0</v>
      </c>
      <c r="AF39" s="126">
        <f t="shared" si="14"/>
        <v>0</v>
      </c>
      <c r="AG39" s="126">
        <f t="shared" si="14"/>
        <v>0</v>
      </c>
      <c r="AH39" s="126">
        <f t="shared" si="14"/>
        <v>0</v>
      </c>
      <c r="AI39" s="126">
        <f t="shared" si="14"/>
        <v>0</v>
      </c>
      <c r="AJ39" s="126">
        <f t="shared" si="14"/>
        <v>0</v>
      </c>
      <c r="AK39" s="126">
        <f t="shared" si="14"/>
        <v>0</v>
      </c>
      <c r="AL39" s="126">
        <f t="shared" si="14"/>
        <v>0</v>
      </c>
      <c r="AM39" s="126">
        <f t="shared" si="14"/>
        <v>0</v>
      </c>
      <c r="AN39" s="126">
        <f t="shared" si="14"/>
        <v>0</v>
      </c>
      <c r="AO39" s="126">
        <f t="shared" si="14"/>
        <v>0</v>
      </c>
      <c r="AP39" s="126">
        <f t="shared" si="14"/>
        <v>0</v>
      </c>
      <c r="AQ39" s="126">
        <f t="shared" si="14"/>
        <v>0</v>
      </c>
      <c r="AR39" s="126">
        <f t="shared" si="14"/>
        <v>0</v>
      </c>
      <c r="AS39" s="126">
        <f t="shared" si="14"/>
        <v>0</v>
      </c>
      <c r="AT39" s="113">
        <f t="shared" si="7"/>
        <v>0</v>
      </c>
      <c r="AU39" s="182" t="e">
        <f t="shared" si="10"/>
        <v>#DIV/0!</v>
      </c>
      <c r="AV39" s="183" t="e">
        <f t="shared" si="11"/>
        <v>#DIV/0!</v>
      </c>
    </row>
    <row r="40" spans="1:48" ht="17.25" thickBot="1" x14ac:dyDescent="0.3">
      <c r="A40" s="129" t="str">
        <f t="shared" si="12"/>
        <v>x</v>
      </c>
      <c r="B40" s="121">
        <f t="shared" si="0"/>
        <v>0</v>
      </c>
      <c r="C40" s="130"/>
      <c r="D40" s="120" t="e">
        <f t="shared" si="1"/>
        <v>#DIV/0!</v>
      </c>
      <c r="E40" s="184">
        <f t="shared" si="2"/>
        <v>0</v>
      </c>
      <c r="F40" s="117">
        <f t="shared" si="3"/>
        <v>0</v>
      </c>
      <c r="G40" s="117">
        <f t="shared" si="3"/>
        <v>0</v>
      </c>
      <c r="H40" s="117">
        <f t="shared" si="3"/>
        <v>0</v>
      </c>
      <c r="I40" s="117">
        <f t="shared" si="3"/>
        <v>0</v>
      </c>
      <c r="J40" s="117">
        <f t="shared" si="3"/>
        <v>0</v>
      </c>
      <c r="K40" s="117">
        <f t="shared" si="8"/>
        <v>0</v>
      </c>
      <c r="L40" s="117">
        <f t="shared" si="9"/>
        <v>0</v>
      </c>
      <c r="M40" s="117">
        <f t="shared" si="3"/>
        <v>0</v>
      </c>
      <c r="N40" s="117">
        <f t="shared" si="3"/>
        <v>0</v>
      </c>
      <c r="O40" s="121">
        <f t="shared" si="3"/>
        <v>0</v>
      </c>
      <c r="P40" s="117">
        <f t="shared" si="3"/>
        <v>0</v>
      </c>
      <c r="Q40" s="117">
        <f t="shared" si="3"/>
        <v>0</v>
      </c>
      <c r="R40" s="117">
        <f t="shared" si="4"/>
        <v>0</v>
      </c>
      <c r="S40" s="117">
        <f t="shared" si="4"/>
        <v>0</v>
      </c>
      <c r="T40" s="117">
        <f t="shared" si="4"/>
        <v>0</v>
      </c>
      <c r="U40" s="117">
        <f t="shared" si="4"/>
        <v>0</v>
      </c>
      <c r="V40" s="117" t="e">
        <f t="shared" si="5"/>
        <v>#DIV/0!</v>
      </c>
      <c r="W40" s="117">
        <f t="shared" si="14"/>
        <v>0</v>
      </c>
      <c r="X40" s="117">
        <f t="shared" si="14"/>
        <v>0</v>
      </c>
      <c r="Y40" s="117">
        <f t="shared" si="14"/>
        <v>0</v>
      </c>
      <c r="Z40" s="117">
        <f t="shared" si="14"/>
        <v>0</v>
      </c>
      <c r="AA40" s="117">
        <f t="shared" si="14"/>
        <v>0</v>
      </c>
      <c r="AB40" s="117">
        <f t="shared" si="14"/>
        <v>0</v>
      </c>
      <c r="AC40" s="117">
        <f t="shared" si="14"/>
        <v>0</v>
      </c>
      <c r="AD40" s="117">
        <f t="shared" si="14"/>
        <v>0</v>
      </c>
      <c r="AE40" s="117">
        <f t="shared" si="14"/>
        <v>0</v>
      </c>
      <c r="AF40" s="131">
        <f t="shared" si="14"/>
        <v>0</v>
      </c>
      <c r="AG40" s="131">
        <f t="shared" si="14"/>
        <v>0</v>
      </c>
      <c r="AH40" s="131">
        <f t="shared" si="14"/>
        <v>0</v>
      </c>
      <c r="AI40" s="131">
        <f t="shared" si="14"/>
        <v>0</v>
      </c>
      <c r="AJ40" s="131">
        <f t="shared" si="14"/>
        <v>0</v>
      </c>
      <c r="AK40" s="131">
        <f t="shared" si="14"/>
        <v>0</v>
      </c>
      <c r="AL40" s="131">
        <f t="shared" si="14"/>
        <v>0</v>
      </c>
      <c r="AM40" s="131">
        <f t="shared" si="14"/>
        <v>0</v>
      </c>
      <c r="AN40" s="131">
        <f t="shared" si="14"/>
        <v>0</v>
      </c>
      <c r="AO40" s="131">
        <f t="shared" si="14"/>
        <v>0</v>
      </c>
      <c r="AP40" s="131">
        <f t="shared" si="14"/>
        <v>0</v>
      </c>
      <c r="AQ40" s="131">
        <f t="shared" si="14"/>
        <v>0</v>
      </c>
      <c r="AR40" s="131">
        <f t="shared" si="14"/>
        <v>0</v>
      </c>
      <c r="AS40" s="131">
        <f t="shared" si="14"/>
        <v>0</v>
      </c>
      <c r="AT40" s="113">
        <f t="shared" si="7"/>
        <v>0</v>
      </c>
      <c r="AU40" s="182" t="e">
        <f t="shared" si="10"/>
        <v>#DIV/0!</v>
      </c>
      <c r="AV40" s="183" t="e">
        <f t="shared" si="11"/>
        <v>#DIV/0!</v>
      </c>
    </row>
    <row r="41" spans="1:48" ht="17.25" thickTop="1" x14ac:dyDescent="0.25">
      <c r="B41" s="109"/>
      <c r="D41" s="111"/>
      <c r="E41" s="82"/>
      <c r="AF41" s="77"/>
      <c r="AG41" s="77"/>
      <c r="AH41" s="77"/>
      <c r="AI41" s="77"/>
    </row>
    <row r="42" spans="1:48" ht="17.25" thickBot="1" x14ac:dyDescent="0.3">
      <c r="A42" s="89" t="s">
        <v>32</v>
      </c>
      <c r="B42" s="77"/>
      <c r="C42" s="113">
        <f t="shared" ref="C42:AS42" si="15">SUM(C25:C40)</f>
        <v>0</v>
      </c>
      <c r="D42" s="111" t="e">
        <f>SUM(D25:D40)</f>
        <v>#DIV/0!</v>
      </c>
      <c r="E42" s="185" t="e">
        <f>E43/C42</f>
        <v>#DIV/0!</v>
      </c>
      <c r="F42" s="90">
        <f>SUM(F25:F40)</f>
        <v>0</v>
      </c>
      <c r="G42" s="90">
        <f>SUM(G25:G40)</f>
        <v>0</v>
      </c>
      <c r="H42" s="90">
        <f t="shared" si="15"/>
        <v>0</v>
      </c>
      <c r="I42" s="113">
        <f>SUM(I25:I40)</f>
        <v>0</v>
      </c>
      <c r="J42" s="113">
        <f t="shared" si="15"/>
        <v>0</v>
      </c>
      <c r="K42" s="113">
        <f t="shared" si="15"/>
        <v>0</v>
      </c>
      <c r="L42" s="113">
        <f t="shared" si="15"/>
        <v>0</v>
      </c>
      <c r="M42" s="113">
        <f t="shared" si="15"/>
        <v>0</v>
      </c>
      <c r="N42" s="113">
        <f t="shared" si="15"/>
        <v>0</v>
      </c>
      <c r="O42" s="113">
        <f>SUM(O25:O40)</f>
        <v>0</v>
      </c>
      <c r="P42" s="113">
        <f t="shared" si="15"/>
        <v>0</v>
      </c>
      <c r="Q42" s="113">
        <f t="shared" si="15"/>
        <v>0</v>
      </c>
      <c r="R42" s="109">
        <f t="shared" si="15"/>
        <v>0</v>
      </c>
      <c r="S42" s="113">
        <f t="shared" si="15"/>
        <v>0</v>
      </c>
      <c r="T42" s="113">
        <f t="shared" si="15"/>
        <v>0</v>
      </c>
      <c r="U42" s="113">
        <f t="shared" si="15"/>
        <v>0</v>
      </c>
      <c r="V42" s="113" t="e">
        <f t="shared" si="15"/>
        <v>#DIV/0!</v>
      </c>
      <c r="W42" s="109">
        <f t="shared" si="15"/>
        <v>0</v>
      </c>
      <c r="X42" s="109">
        <f t="shared" si="15"/>
        <v>0</v>
      </c>
      <c r="Y42" s="109">
        <f t="shared" si="15"/>
        <v>0</v>
      </c>
      <c r="Z42" s="109">
        <f t="shared" si="15"/>
        <v>0</v>
      </c>
      <c r="AA42" s="109">
        <f t="shared" si="15"/>
        <v>0</v>
      </c>
      <c r="AB42" s="109">
        <f t="shared" si="15"/>
        <v>0</v>
      </c>
      <c r="AC42" s="109">
        <f t="shared" si="15"/>
        <v>0</v>
      </c>
      <c r="AD42" s="109">
        <f t="shared" si="15"/>
        <v>0</v>
      </c>
      <c r="AE42" s="109">
        <f t="shared" si="15"/>
        <v>0</v>
      </c>
      <c r="AF42" s="113">
        <f t="shared" si="15"/>
        <v>0</v>
      </c>
      <c r="AG42" s="113">
        <f t="shared" si="15"/>
        <v>0</v>
      </c>
      <c r="AH42" s="113">
        <f>SUM(AH25:AH40)</f>
        <v>0</v>
      </c>
      <c r="AI42" s="113">
        <f>SUM(AI25:AI40)</f>
        <v>0</v>
      </c>
      <c r="AJ42" s="113">
        <f>SUM(AJ25:AJ40)</f>
        <v>0</v>
      </c>
      <c r="AK42" s="113">
        <f>SUM(AK25:AK40)</f>
        <v>0</v>
      </c>
      <c r="AL42" s="113">
        <f t="shared" si="15"/>
        <v>0</v>
      </c>
      <c r="AM42" s="115">
        <f>SUM(AM25:AM40)</f>
        <v>0</v>
      </c>
      <c r="AN42" s="115">
        <f t="shared" si="15"/>
        <v>0</v>
      </c>
      <c r="AO42" s="115">
        <f t="shared" si="15"/>
        <v>0</v>
      </c>
      <c r="AP42" s="113">
        <f t="shared" si="15"/>
        <v>0</v>
      </c>
      <c r="AQ42" s="113">
        <f t="shared" si="15"/>
        <v>0</v>
      </c>
      <c r="AR42" s="113">
        <f t="shared" si="15"/>
        <v>0</v>
      </c>
      <c r="AS42" s="113">
        <f t="shared" si="15"/>
        <v>0</v>
      </c>
    </row>
    <row r="43" spans="1:48" ht="18" thickTop="1" thickBot="1" x14ac:dyDescent="0.3">
      <c r="A43" s="133" t="s">
        <v>71</v>
      </c>
      <c r="B43" s="134"/>
      <c r="C43" s="135"/>
      <c r="D43" s="136"/>
      <c r="E43" s="137">
        <f>SUM(E25:E40)</f>
        <v>0</v>
      </c>
      <c r="F43" s="138" t="e">
        <f>F42/$E43</f>
        <v>#DIV/0!</v>
      </c>
      <c r="G43" s="138" t="e">
        <f>G42/$E43</f>
        <v>#DIV/0!</v>
      </c>
      <c r="H43" s="138" t="e">
        <f t="shared" ref="H43:AO43" si="16">H42/$E43</f>
        <v>#DIV/0!</v>
      </c>
      <c r="I43" s="139" t="e">
        <f t="shared" si="16"/>
        <v>#DIV/0!</v>
      </c>
      <c r="J43" s="139" t="e">
        <f t="shared" si="16"/>
        <v>#DIV/0!</v>
      </c>
      <c r="K43" s="139" t="e">
        <f t="shared" si="16"/>
        <v>#DIV/0!</v>
      </c>
      <c r="L43" s="139" t="e">
        <f t="shared" si="16"/>
        <v>#DIV/0!</v>
      </c>
      <c r="M43" s="139" t="e">
        <f t="shared" si="16"/>
        <v>#DIV/0!</v>
      </c>
      <c r="N43" s="139" t="e">
        <f t="shared" si="16"/>
        <v>#DIV/0!</v>
      </c>
      <c r="O43" s="140" t="e">
        <f t="shared" si="16"/>
        <v>#DIV/0!</v>
      </c>
      <c r="P43" s="139" t="e">
        <f t="shared" si="16"/>
        <v>#DIV/0!</v>
      </c>
      <c r="Q43" s="139" t="e">
        <f t="shared" si="16"/>
        <v>#DIV/0!</v>
      </c>
      <c r="R43" s="139" t="e">
        <f t="shared" si="16"/>
        <v>#DIV/0!</v>
      </c>
      <c r="S43" s="139" t="e">
        <f t="shared" si="16"/>
        <v>#DIV/0!</v>
      </c>
      <c r="T43" s="139" t="e">
        <f t="shared" si="16"/>
        <v>#DIV/0!</v>
      </c>
      <c r="U43" s="139" t="e">
        <f t="shared" si="16"/>
        <v>#DIV/0!</v>
      </c>
      <c r="V43" s="139" t="e">
        <f t="shared" si="16"/>
        <v>#DIV/0!</v>
      </c>
      <c r="W43" s="138" t="e">
        <f t="shared" si="16"/>
        <v>#DIV/0!</v>
      </c>
      <c r="X43" s="138" t="e">
        <f t="shared" si="16"/>
        <v>#DIV/0!</v>
      </c>
      <c r="Y43" s="138" t="e">
        <f t="shared" si="16"/>
        <v>#DIV/0!</v>
      </c>
      <c r="Z43" s="138" t="e">
        <f t="shared" si="16"/>
        <v>#DIV/0!</v>
      </c>
      <c r="AA43" s="138" t="e">
        <f t="shared" si="16"/>
        <v>#DIV/0!</v>
      </c>
      <c r="AB43" s="138" t="e">
        <f t="shared" si="16"/>
        <v>#DIV/0!</v>
      </c>
      <c r="AC43" s="138" t="e">
        <f t="shared" si="16"/>
        <v>#DIV/0!</v>
      </c>
      <c r="AD43" s="138" t="e">
        <f t="shared" si="16"/>
        <v>#DIV/0!</v>
      </c>
      <c r="AE43" s="138" t="e">
        <f t="shared" si="16"/>
        <v>#DIV/0!</v>
      </c>
      <c r="AF43" s="140" t="e">
        <f t="shared" si="16"/>
        <v>#DIV/0!</v>
      </c>
      <c r="AG43" s="137" t="e">
        <f t="shared" si="16"/>
        <v>#DIV/0!</v>
      </c>
      <c r="AH43" s="137" t="e">
        <f t="shared" si="16"/>
        <v>#DIV/0!</v>
      </c>
      <c r="AI43" s="137" t="e">
        <f t="shared" si="16"/>
        <v>#DIV/0!</v>
      </c>
      <c r="AJ43" s="140" t="e">
        <f t="shared" si="16"/>
        <v>#DIV/0!</v>
      </c>
      <c r="AK43" s="140" t="e">
        <f t="shared" si="16"/>
        <v>#DIV/0!</v>
      </c>
      <c r="AL43" s="137" t="e">
        <f t="shared" si="16"/>
        <v>#DIV/0!</v>
      </c>
      <c r="AM43" s="137" t="e">
        <f t="shared" si="16"/>
        <v>#DIV/0!</v>
      </c>
      <c r="AN43" s="137" t="e">
        <f t="shared" si="16"/>
        <v>#DIV/0!</v>
      </c>
      <c r="AO43" s="137" t="e">
        <f t="shared" si="16"/>
        <v>#DIV/0!</v>
      </c>
      <c r="AP43" s="141">
        <f>AP42</f>
        <v>0</v>
      </c>
      <c r="AQ43" s="141">
        <f t="shared" ref="AQ43:AS43" si="17">AQ42</f>
        <v>0</v>
      </c>
      <c r="AR43" s="141">
        <f t="shared" si="17"/>
        <v>0</v>
      </c>
      <c r="AS43" s="216">
        <f t="shared" si="17"/>
        <v>0</v>
      </c>
    </row>
    <row r="44" spans="1:48" s="87" customFormat="1" ht="6.75" customHeight="1" thickTop="1" thickBot="1" x14ac:dyDescent="0.3">
      <c r="A44" s="142"/>
      <c r="B44" s="109"/>
      <c r="C44" s="77"/>
      <c r="D44" s="77"/>
      <c r="E44" s="143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  <c r="AA44" s="143"/>
      <c r="AB44" s="143"/>
      <c r="AC44" s="143"/>
      <c r="AD44" s="143"/>
      <c r="AE44" s="143"/>
      <c r="AF44" s="143"/>
      <c r="AG44" s="143"/>
      <c r="AH44" s="143"/>
      <c r="AI44" s="143"/>
      <c r="AJ44" s="143"/>
      <c r="AK44" s="143"/>
      <c r="AL44" s="143"/>
      <c r="AM44" s="144"/>
      <c r="AN44" s="144"/>
      <c r="AO44" s="144"/>
      <c r="AP44" s="143"/>
      <c r="AQ44" s="143"/>
      <c r="AR44" s="143"/>
      <c r="AS44" s="143"/>
    </row>
    <row r="45" spans="1:48" s="85" customFormat="1" ht="18" thickTop="1" thickBot="1" x14ac:dyDescent="0.3">
      <c r="A45" s="145" t="s">
        <v>200</v>
      </c>
      <c r="B45" s="146"/>
      <c r="C45" s="147"/>
      <c r="D45" s="147"/>
      <c r="E45" s="148">
        <f>(3.7+(C2*5.7)+(0.305*((0.0929*G2)+(0.0547*H2)+(0.0395*I2))*F2)+0.022*D2+(-0.689-1.87*C2)*B2)*(1-(0.212+C2*0.136)*EXP(-0.053*E2))</f>
        <v>2.9156000000000004</v>
      </c>
      <c r="F45" s="149" t="s">
        <v>253</v>
      </c>
      <c r="G45" s="150" t="s">
        <v>249</v>
      </c>
      <c r="H45" s="149" t="s">
        <v>250</v>
      </c>
      <c r="I45" s="149"/>
      <c r="J45" s="149" t="s">
        <v>283</v>
      </c>
      <c r="K45" s="149" t="s">
        <v>251</v>
      </c>
      <c r="L45" s="149"/>
      <c r="M45" s="149" t="s">
        <v>242</v>
      </c>
      <c r="N45" s="149"/>
      <c r="O45" s="149"/>
      <c r="P45" s="149"/>
      <c r="Q45" s="149" t="s">
        <v>260</v>
      </c>
      <c r="R45" s="149" t="s">
        <v>189</v>
      </c>
      <c r="S45" s="149"/>
      <c r="T45" s="149" t="s">
        <v>254</v>
      </c>
      <c r="U45" s="149" t="s">
        <v>212</v>
      </c>
      <c r="V45" s="149" t="s">
        <v>211</v>
      </c>
      <c r="W45" s="150"/>
      <c r="X45" s="150"/>
      <c r="Y45" s="150" t="s">
        <v>284</v>
      </c>
      <c r="Z45" s="150" t="s">
        <v>194</v>
      </c>
      <c r="AA45" s="150" t="s">
        <v>291</v>
      </c>
      <c r="AB45" s="150" t="s">
        <v>195</v>
      </c>
      <c r="AC45" s="150" t="s">
        <v>192</v>
      </c>
      <c r="AD45" s="150">
        <v>2.2000000000000001E-3</v>
      </c>
      <c r="AE45" s="150" t="s">
        <v>285</v>
      </c>
      <c r="AF45" s="151">
        <v>0.2</v>
      </c>
      <c r="AG45" s="186" t="s">
        <v>286</v>
      </c>
      <c r="AH45" s="148" t="s">
        <v>70</v>
      </c>
      <c r="AI45" s="148" t="s">
        <v>287</v>
      </c>
      <c r="AJ45" s="151" t="s">
        <v>288</v>
      </c>
      <c r="AK45" s="151">
        <v>0.5</v>
      </c>
      <c r="AL45" s="148">
        <v>15</v>
      </c>
      <c r="AM45" s="152" t="s">
        <v>329</v>
      </c>
      <c r="AN45" s="152" t="s">
        <v>333</v>
      </c>
      <c r="AO45" s="152" t="s">
        <v>332</v>
      </c>
      <c r="AP45" s="148" t="s">
        <v>213</v>
      </c>
      <c r="AQ45" s="148" t="s">
        <v>296</v>
      </c>
      <c r="AR45" s="148">
        <v>5</v>
      </c>
      <c r="AS45" s="148" t="s">
        <v>280</v>
      </c>
    </row>
    <row r="46" spans="1:48" ht="18" thickTop="1" thickBot="1" x14ac:dyDescent="0.3">
      <c r="H46" s="77"/>
      <c r="J46" s="77"/>
      <c r="K46" s="77"/>
      <c r="L46" s="77"/>
      <c r="O46" s="77"/>
      <c r="P46" s="77"/>
      <c r="Q46" s="77"/>
      <c r="T46" s="77"/>
      <c r="U46" s="77"/>
      <c r="W46" s="85"/>
      <c r="AB46" s="85"/>
      <c r="AC46" s="85"/>
      <c r="AE46" s="85"/>
      <c r="AF46" s="98"/>
      <c r="AG46" s="98"/>
      <c r="AH46" s="98"/>
      <c r="AI46" s="98"/>
      <c r="AJ46" s="98"/>
      <c r="AK46" s="98"/>
      <c r="AL46" s="98"/>
      <c r="AM46" s="98"/>
      <c r="AN46" s="98"/>
      <c r="AO46" s="98"/>
      <c r="AR46" s="98"/>
      <c r="AS46" s="98"/>
      <c r="AT46" s="98"/>
      <c r="AU46" s="98"/>
    </row>
    <row r="47" spans="1:48" ht="18" thickTop="1" thickBot="1" x14ac:dyDescent="0.3">
      <c r="A47" s="187" t="s">
        <v>303</v>
      </c>
      <c r="B47" s="188"/>
      <c r="G47" s="77"/>
      <c r="H47" s="87"/>
      <c r="J47" s="85" t="s">
        <v>190</v>
      </c>
      <c r="Q47" s="77"/>
      <c r="V47" s="85"/>
      <c r="X47" s="85"/>
      <c r="AE47" s="85"/>
      <c r="AF47" s="85"/>
      <c r="AG47" s="85"/>
      <c r="AH47" s="85"/>
      <c r="AT47" s="98"/>
      <c r="AU47" s="98"/>
    </row>
    <row r="48" spans="1:48" ht="17.25" thickTop="1" x14ac:dyDescent="0.25">
      <c r="A48" s="75" t="s">
        <v>184</v>
      </c>
      <c r="B48" s="91">
        <f>SUM(B25:B40)</f>
        <v>0</v>
      </c>
      <c r="G48" s="77"/>
      <c r="H48" s="75" t="s">
        <v>174</v>
      </c>
      <c r="I48" s="161" t="e">
        <f>M42/D2</f>
        <v>#DIV/0!</v>
      </c>
      <c r="J48" s="85" t="s">
        <v>103</v>
      </c>
      <c r="Q48" s="77"/>
      <c r="X48" s="77"/>
      <c r="AA48" s="77"/>
      <c r="AE48" s="85"/>
      <c r="AF48" s="85"/>
      <c r="AG48" s="85"/>
      <c r="AH48" s="85"/>
    </row>
    <row r="49" spans="1:38" x14ac:dyDescent="0.25">
      <c r="A49" s="75" t="s">
        <v>106</v>
      </c>
      <c r="B49" s="91" t="e">
        <f>B48/F2</f>
        <v>#DIV/0!</v>
      </c>
      <c r="G49" s="77"/>
      <c r="H49" s="75" t="s">
        <v>197</v>
      </c>
      <c r="I49" s="161" t="e">
        <f>(SUMIF(AT$25:AT$40,"F",E$25:E$40)+SUMIF(AT$25:AT$40,"S",E$25:E$40))/E$43</f>
        <v>#DIV/0!</v>
      </c>
      <c r="J49" s="85" t="s">
        <v>198</v>
      </c>
      <c r="Q49" s="77"/>
      <c r="X49" s="77"/>
      <c r="Z49" s="77"/>
      <c r="AA49" s="77"/>
      <c r="AB49" s="77"/>
      <c r="AC49" s="77"/>
      <c r="AD49" s="77"/>
      <c r="AE49" s="77"/>
      <c r="AF49" s="77"/>
      <c r="AG49" s="77"/>
      <c r="AH49" s="77"/>
      <c r="AI49" s="77"/>
    </row>
    <row r="50" spans="1:38" x14ac:dyDescent="0.25">
      <c r="A50" s="75" t="s">
        <v>186</v>
      </c>
      <c r="B50" s="91" t="e">
        <f>B48/E43</f>
        <v>#DIV/0!</v>
      </c>
      <c r="F50" s="77"/>
      <c r="G50" s="77"/>
      <c r="H50" s="75" t="s">
        <v>187</v>
      </c>
      <c r="I50" s="189" t="e">
        <f>K43/V43</f>
        <v>#DIV/0!</v>
      </c>
      <c r="J50" s="85" t="s">
        <v>225</v>
      </c>
      <c r="Q50" s="77"/>
      <c r="Z50" s="85"/>
      <c r="AA50" s="85"/>
      <c r="AE50" s="85"/>
      <c r="AF50" s="85"/>
      <c r="AG50" s="85"/>
      <c r="AH50" s="85"/>
      <c r="AI50" s="85"/>
    </row>
    <row r="51" spans="1:38" x14ac:dyDescent="0.25">
      <c r="A51" s="75" t="s">
        <v>107</v>
      </c>
      <c r="B51" s="91">
        <f>(F2*B47)-B48</f>
        <v>0</v>
      </c>
      <c r="E51" s="77"/>
      <c r="F51" s="77"/>
      <c r="G51" s="77"/>
      <c r="H51" s="166" t="s">
        <v>245</v>
      </c>
      <c r="I51" s="161">
        <f>SUM(G72:G73)</f>
        <v>0</v>
      </c>
      <c r="J51" s="85" t="s">
        <v>246</v>
      </c>
      <c r="Q51" s="77"/>
      <c r="R51" s="85"/>
    </row>
    <row r="52" spans="1:38" x14ac:dyDescent="0.25">
      <c r="E52" s="77"/>
      <c r="F52" s="77"/>
      <c r="G52" s="77"/>
      <c r="H52" s="75" t="s">
        <v>193</v>
      </c>
      <c r="I52" s="159" t="e">
        <f>X42/W42</f>
        <v>#DIV/0!</v>
      </c>
      <c r="J52" s="85">
        <v>3</v>
      </c>
      <c r="Q52" s="77"/>
      <c r="V52" s="124"/>
    </row>
    <row r="53" spans="1:38" x14ac:dyDescent="0.25">
      <c r="C53" s="124"/>
      <c r="E53" s="77"/>
      <c r="F53" s="77"/>
      <c r="G53" s="77"/>
      <c r="H53" s="75" t="s">
        <v>52</v>
      </c>
      <c r="I53" s="159" t="e">
        <f>Y42/Z42</f>
        <v>#DIV/0!</v>
      </c>
      <c r="J53" s="163" t="s">
        <v>105</v>
      </c>
      <c r="Q53" s="124"/>
      <c r="R53" s="124"/>
      <c r="V53" s="124"/>
    </row>
    <row r="54" spans="1:38" x14ac:dyDescent="0.25">
      <c r="H54" s="190" t="s">
        <v>169</v>
      </c>
      <c r="I54" s="165" t="e">
        <f>(((AD43/23)+(AB43/39))-((AE43/35)+(AC43/32*2)))*1000000</f>
        <v>#DIV/0!</v>
      </c>
      <c r="J54" s="168" t="s">
        <v>199</v>
      </c>
      <c r="K54" s="124"/>
      <c r="L54" s="124"/>
      <c r="M54" s="124"/>
      <c r="P54" s="124"/>
      <c r="Q54" s="124"/>
      <c r="R54" s="124"/>
      <c r="V54" s="124"/>
    </row>
    <row r="55" spans="1:38" x14ac:dyDescent="0.25">
      <c r="H55" s="166" t="s">
        <v>239</v>
      </c>
      <c r="I55" s="161" t="e">
        <f>(2.365+(0.214*((SUMIF(AT25:AT40,"F",E25:E40)+SUMIF(AT25:AT40,"S",E25:E40))/D2*100))+(0.734*(SUMIF(AT25:AT40,"C",E25:E40)/D2*100)+(0.069*(SUMIF(AT25:AT40,"S",E25:E40)+SUMIF(AT25:AT40,"F",E25:E40)))))/100</f>
        <v>#DIV/0!</v>
      </c>
      <c r="J55" s="124"/>
      <c r="K55" s="124"/>
      <c r="L55" s="124"/>
      <c r="M55" s="124"/>
      <c r="P55" s="124"/>
      <c r="Q55" s="124"/>
      <c r="R55" s="124"/>
      <c r="V55" s="124"/>
    </row>
    <row r="56" spans="1:38" x14ac:dyDescent="0.25">
      <c r="H56" s="75" t="s">
        <v>240</v>
      </c>
      <c r="I56" s="161" t="e">
        <f>(1.169+(1.375*(SUMIF(AT25:AT40,"F",E25:E40)+SUMIF(AT25:AT40,"S",E25:E40))/D2*100)+(1.721*SUMIF(AT25:AT40,"C",E25:E40)/D2*100))/100</f>
        <v>#DIV/0!</v>
      </c>
      <c r="J56" s="124"/>
      <c r="K56" s="124"/>
      <c r="L56" s="124"/>
      <c r="M56" s="124"/>
      <c r="P56" s="124"/>
      <c r="Q56" s="124"/>
      <c r="R56" s="124"/>
      <c r="V56" s="124"/>
    </row>
    <row r="57" spans="1:38" x14ac:dyDescent="0.25">
      <c r="H57" s="167" t="s">
        <v>241</v>
      </c>
      <c r="I57" s="161" t="e">
        <f>(4.524+(0.223*(SUMIF(AT25:AT40,"F",E25:E40)+SUMIF(AT25:AT40,"S",E25:E40))/D2*100)+(2.046*SUMIF(AT25:AT40,"C",E25:E40)/D2*100)+(0.344*(SUMIF(AT25:AT40,"F",E25:E40)+SUMIF(AT25:AT40,"S",E25:E40))))/100</f>
        <v>#DIV/0!</v>
      </c>
      <c r="J57" s="124"/>
      <c r="K57" s="168"/>
      <c r="L57" s="168"/>
      <c r="M57" s="168"/>
      <c r="P57" s="168"/>
      <c r="Q57" s="168"/>
      <c r="R57" s="168"/>
      <c r="V57" s="168"/>
    </row>
    <row r="58" spans="1:38" x14ac:dyDescent="0.25">
      <c r="K58" s="124"/>
      <c r="L58" s="124"/>
      <c r="M58" s="124"/>
      <c r="P58" s="124"/>
      <c r="Q58" s="124"/>
      <c r="R58" s="124"/>
      <c r="V58" s="124"/>
    </row>
    <row r="59" spans="1:38" x14ac:dyDescent="0.25">
      <c r="G59" s="168"/>
      <c r="H59" s="168"/>
      <c r="I59" s="168"/>
      <c r="J59" s="169"/>
      <c r="K59" s="124"/>
      <c r="L59" s="124"/>
      <c r="M59" s="124"/>
      <c r="P59" s="124"/>
      <c r="R59" s="124"/>
      <c r="V59" s="124"/>
    </row>
    <row r="60" spans="1:38" x14ac:dyDescent="0.25">
      <c r="C60" s="85">
        <v>1</v>
      </c>
      <c r="D60" s="85">
        <v>2</v>
      </c>
      <c r="E60" s="85">
        <v>3</v>
      </c>
      <c r="F60" s="85">
        <v>4</v>
      </c>
      <c r="G60" s="85">
        <v>5</v>
      </c>
      <c r="H60" s="85">
        <v>6</v>
      </c>
      <c r="J60" s="168"/>
      <c r="K60" s="168"/>
      <c r="L60" s="168"/>
      <c r="M60" s="169"/>
      <c r="N60" s="170"/>
      <c r="O60" s="170"/>
      <c r="P60" s="170"/>
      <c r="S60" s="170"/>
      <c r="U60" s="124"/>
      <c r="Y60" s="170"/>
      <c r="AJ60" s="87"/>
      <c r="AK60" s="87"/>
      <c r="AL60" s="87"/>
    </row>
    <row r="61" spans="1:38" ht="17.25" thickBot="1" x14ac:dyDescent="0.3">
      <c r="C61" s="85" t="s">
        <v>30</v>
      </c>
      <c r="D61" s="85" t="s">
        <v>30</v>
      </c>
      <c r="E61" s="85" t="s">
        <v>30</v>
      </c>
      <c r="F61" s="85" t="s">
        <v>30</v>
      </c>
      <c r="G61" s="85" t="s">
        <v>30</v>
      </c>
      <c r="H61" s="85" t="s">
        <v>30</v>
      </c>
      <c r="J61" s="168"/>
      <c r="K61" s="168"/>
      <c r="L61" s="168"/>
      <c r="M61" s="169"/>
      <c r="N61" s="170"/>
      <c r="O61" s="170"/>
      <c r="P61" s="170"/>
      <c r="S61" s="170"/>
      <c r="U61" s="124"/>
      <c r="X61" s="170"/>
      <c r="Y61" s="170"/>
      <c r="AJ61" s="87"/>
      <c r="AK61" s="87"/>
      <c r="AL61" s="87"/>
    </row>
    <row r="62" spans="1:38" ht="17.25" thickTop="1" x14ac:dyDescent="0.25">
      <c r="B62" s="156" t="s">
        <v>201</v>
      </c>
      <c r="C62" s="191"/>
      <c r="D62" s="192"/>
      <c r="E62" s="192"/>
      <c r="F62" s="192"/>
      <c r="G62" s="192"/>
      <c r="H62" s="193"/>
      <c r="J62" s="168"/>
      <c r="K62" s="168"/>
      <c r="L62" s="168"/>
      <c r="M62" s="169"/>
      <c r="N62" s="170"/>
      <c r="O62" s="170"/>
      <c r="P62" s="170"/>
      <c r="S62" s="170"/>
      <c r="U62" s="124"/>
      <c r="X62" s="170"/>
      <c r="Y62" s="170"/>
      <c r="AJ62" s="87"/>
      <c r="AK62" s="87"/>
      <c r="AL62" s="87"/>
    </row>
    <row r="63" spans="1:38" x14ac:dyDescent="0.25">
      <c r="B63" s="156" t="s">
        <v>202</v>
      </c>
      <c r="C63" s="194"/>
      <c r="D63" s="195"/>
      <c r="E63" s="195"/>
      <c r="F63" s="195"/>
      <c r="G63" s="195"/>
      <c r="H63" s="196"/>
      <c r="J63" s="113"/>
      <c r="K63" s="90"/>
      <c r="L63" s="170"/>
      <c r="M63" s="169"/>
      <c r="N63" s="170"/>
      <c r="O63" s="170"/>
      <c r="P63" s="170"/>
      <c r="S63" s="170"/>
      <c r="T63" s="170"/>
      <c r="U63" s="124"/>
      <c r="V63" s="170"/>
      <c r="W63" s="170"/>
      <c r="X63" s="170"/>
      <c r="Y63" s="170"/>
      <c r="AJ63" s="87"/>
      <c r="AK63" s="87"/>
      <c r="AL63" s="87"/>
    </row>
    <row r="64" spans="1:38" ht="17.25" thickBot="1" x14ac:dyDescent="0.3">
      <c r="B64" s="156" t="s">
        <v>203</v>
      </c>
      <c r="C64" s="197"/>
      <c r="D64" s="198"/>
      <c r="E64" s="198"/>
      <c r="F64" s="198"/>
      <c r="G64" s="198"/>
      <c r="H64" s="199"/>
      <c r="J64" s="113"/>
      <c r="K64" s="90"/>
      <c r="L64" s="170"/>
      <c r="M64" s="169"/>
      <c r="N64" s="170"/>
      <c r="O64" s="170"/>
      <c r="P64" s="170"/>
      <c r="S64" s="170"/>
      <c r="T64" s="170"/>
      <c r="U64" s="124"/>
      <c r="V64" s="170"/>
      <c r="W64" s="170"/>
      <c r="X64" s="170"/>
      <c r="Y64" s="170"/>
      <c r="AJ64" s="87"/>
      <c r="AK64" s="87"/>
      <c r="AL64" s="87"/>
    </row>
    <row r="65" spans="1:38" ht="17.25" thickTop="1" x14ac:dyDescent="0.25">
      <c r="C65" s="85" t="s">
        <v>233</v>
      </c>
      <c r="D65" s="85" t="s">
        <v>233</v>
      </c>
      <c r="E65" s="85"/>
      <c r="F65" s="85"/>
      <c r="G65" s="85"/>
      <c r="H65" s="82" t="s">
        <v>233</v>
      </c>
      <c r="I65" s="85" t="s">
        <v>277</v>
      </c>
      <c r="J65" s="82" t="s">
        <v>278</v>
      </c>
      <c r="K65" s="90"/>
      <c r="L65" s="170"/>
      <c r="M65" s="171"/>
      <c r="N65" s="170"/>
      <c r="O65" s="170"/>
      <c r="P65" s="170"/>
      <c r="S65" s="170"/>
      <c r="T65" s="170"/>
      <c r="U65" s="124"/>
      <c r="V65" s="170"/>
      <c r="W65" s="170"/>
      <c r="X65" s="170"/>
      <c r="Y65" s="170"/>
      <c r="AJ65" s="87"/>
      <c r="AK65" s="87"/>
      <c r="AL65" s="87"/>
    </row>
    <row r="66" spans="1:38" x14ac:dyDescent="0.25">
      <c r="B66" s="156" t="s">
        <v>201</v>
      </c>
      <c r="C66" s="200" t="e">
        <f>C62/SUM(C$62:C$64)</f>
        <v>#DIV/0!</v>
      </c>
      <c r="D66" s="200" t="e">
        <f t="shared" ref="C66:D68" si="18">D62/SUM(D$62:D$64)</f>
        <v>#DIV/0!</v>
      </c>
      <c r="E66" s="200" t="e">
        <f>E62/SUM(E$62:E$64)</f>
        <v>#DIV/0!</v>
      </c>
      <c r="F66" s="200" t="e">
        <f t="shared" ref="F66:H67" si="19">F62/SUM(F$62:F$64)</f>
        <v>#DIV/0!</v>
      </c>
      <c r="G66" s="200" t="e">
        <f t="shared" si="19"/>
        <v>#DIV/0!</v>
      </c>
      <c r="H66" s="200" t="e">
        <f t="shared" si="19"/>
        <v>#DIV/0!</v>
      </c>
      <c r="I66" s="201" t="e">
        <f>STDEV(C66:H66)/AVERAGE(C66:H66)</f>
        <v>#DIV/0!</v>
      </c>
      <c r="J66" s="82" t="s">
        <v>300</v>
      </c>
      <c r="K66" s="90"/>
      <c r="L66" s="170"/>
      <c r="M66" s="172"/>
      <c r="N66" s="170"/>
      <c r="O66" s="170"/>
      <c r="P66" s="170"/>
      <c r="S66" s="170"/>
      <c r="T66" s="170"/>
      <c r="U66" s="170"/>
      <c r="V66" s="170"/>
      <c r="W66" s="170"/>
      <c r="X66" s="170"/>
      <c r="Y66" s="170"/>
      <c r="AJ66" s="87"/>
      <c r="AK66" s="87"/>
      <c r="AL66" s="87"/>
    </row>
    <row r="67" spans="1:38" x14ac:dyDescent="0.25">
      <c r="B67" s="156" t="s">
        <v>202</v>
      </c>
      <c r="C67" s="200" t="e">
        <f>C63/SUM(C$62:C$64)</f>
        <v>#DIV/0!</v>
      </c>
      <c r="D67" s="200" t="e">
        <f t="shared" si="18"/>
        <v>#DIV/0!</v>
      </c>
      <c r="E67" s="200" t="e">
        <f>E63/SUM(E$62:E$64)</f>
        <v>#DIV/0!</v>
      </c>
      <c r="F67" s="200" t="e">
        <f t="shared" si="19"/>
        <v>#DIV/0!</v>
      </c>
      <c r="G67" s="200" t="e">
        <f t="shared" si="19"/>
        <v>#DIV/0!</v>
      </c>
      <c r="H67" s="200" t="e">
        <f t="shared" si="19"/>
        <v>#DIV/0!</v>
      </c>
      <c r="I67" s="93" t="e">
        <f>STDEV(C67:H67)/AVERAGE(C67:H67)</f>
        <v>#DIV/0!</v>
      </c>
      <c r="J67" s="82" t="s">
        <v>297</v>
      </c>
      <c r="K67" s="90"/>
      <c r="L67" s="170"/>
      <c r="M67" s="170"/>
      <c r="N67" s="170"/>
      <c r="O67" s="170"/>
      <c r="P67" s="170"/>
      <c r="S67" s="170"/>
      <c r="T67" s="170"/>
      <c r="U67" s="170"/>
      <c r="V67" s="170"/>
      <c r="W67" s="170"/>
      <c r="X67" s="170"/>
      <c r="Y67" s="170"/>
      <c r="AJ67" s="87"/>
      <c r="AK67" s="87"/>
      <c r="AL67" s="87"/>
    </row>
    <row r="68" spans="1:38" x14ac:dyDescent="0.25">
      <c r="B68" s="156" t="s">
        <v>203</v>
      </c>
      <c r="C68" s="200" t="e">
        <f t="shared" si="18"/>
        <v>#DIV/0!</v>
      </c>
      <c r="D68" s="200" t="e">
        <f t="shared" si="18"/>
        <v>#DIV/0!</v>
      </c>
      <c r="E68" s="200" t="e">
        <f t="shared" ref="E68:H68" si="20">E64/SUM(E$62:E$64)</f>
        <v>#DIV/0!</v>
      </c>
      <c r="F68" s="200" t="e">
        <f t="shared" si="20"/>
        <v>#DIV/0!</v>
      </c>
      <c r="G68" s="200" t="e">
        <f t="shared" si="20"/>
        <v>#DIV/0!</v>
      </c>
      <c r="H68" s="200" t="e">
        <f t="shared" si="20"/>
        <v>#DIV/0!</v>
      </c>
      <c r="I68" s="93" t="e">
        <f>STDEV(C68:H68)/AVERAGE(C68:H68)</f>
        <v>#DIV/0!</v>
      </c>
      <c r="J68" s="82" t="s">
        <v>297</v>
      </c>
      <c r="K68" s="90"/>
      <c r="L68" s="170"/>
      <c r="M68" s="170"/>
      <c r="N68" s="170"/>
      <c r="O68" s="170"/>
      <c r="P68" s="170"/>
      <c r="S68" s="170"/>
      <c r="T68" s="170"/>
      <c r="U68" s="170"/>
      <c r="V68" s="170"/>
      <c r="W68" s="170"/>
      <c r="X68" s="170"/>
      <c r="Y68" s="170"/>
      <c r="AJ68" s="87"/>
      <c r="AK68" s="87"/>
      <c r="AL68" s="87"/>
    </row>
    <row r="69" spans="1:38" x14ac:dyDescent="0.25">
      <c r="I69" s="170"/>
      <c r="J69" s="170"/>
      <c r="K69" s="170"/>
      <c r="L69" s="170"/>
      <c r="M69" s="170"/>
      <c r="P69" s="170"/>
      <c r="Q69" s="170"/>
      <c r="R69" s="170"/>
      <c r="S69" s="170"/>
      <c r="T69" s="170"/>
      <c r="U69" s="170"/>
      <c r="V69" s="170"/>
    </row>
    <row r="70" spans="1:38" x14ac:dyDescent="0.25">
      <c r="I70" s="170"/>
      <c r="J70" s="170"/>
      <c r="K70" s="170"/>
      <c r="L70" s="170"/>
      <c r="M70" s="170"/>
      <c r="P70" s="170"/>
      <c r="Q70" s="170"/>
      <c r="R70" s="170"/>
      <c r="S70" s="170"/>
      <c r="T70" s="170"/>
      <c r="U70" s="170"/>
      <c r="V70" s="170"/>
    </row>
    <row r="71" spans="1:38" x14ac:dyDescent="0.25">
      <c r="E71" s="202" t="s">
        <v>204</v>
      </c>
      <c r="F71" s="85" t="s">
        <v>162</v>
      </c>
      <c r="G71" s="203" t="s">
        <v>163</v>
      </c>
    </row>
    <row r="72" spans="1:38" x14ac:dyDescent="0.25">
      <c r="E72" s="156" t="s">
        <v>201</v>
      </c>
      <c r="F72" s="93" t="str">
        <f>IFERROR(AVERAGE(C66:H66),"")</f>
        <v/>
      </c>
      <c r="G72" s="158">
        <f>SUMIF(AT$25:AT$40,"F",AV$25:AV$40)+SUMIF(AT$25:AT$40,"S",AV$25:AV$40)</f>
        <v>0</v>
      </c>
      <c r="N72" s="172"/>
      <c r="O72" s="172"/>
    </row>
    <row r="73" spans="1:38" x14ac:dyDescent="0.25">
      <c r="A73" s="93"/>
      <c r="B73" s="111"/>
      <c r="E73" s="156" t="s">
        <v>202</v>
      </c>
      <c r="F73" s="93" t="str">
        <f>IFERROR(AVERAGE(C67:H67),"")</f>
        <v/>
      </c>
      <c r="G73" s="158">
        <f>SUMIF(AT$25:AT$40,"F",AU$25:AU$40)+SUMIF(AT$25:AT$40,"S",AU$25:AU$40)</f>
        <v>0</v>
      </c>
    </row>
    <row r="74" spans="1:38" x14ac:dyDescent="0.25">
      <c r="A74" s="93"/>
      <c r="B74" s="111"/>
      <c r="E74" s="156" t="s">
        <v>203</v>
      </c>
      <c r="F74" s="93" t="str">
        <f>IFERROR(AVERAGE(C68:H68),"")</f>
        <v/>
      </c>
      <c r="G74" s="204">
        <f>1-G72-G73</f>
        <v>1</v>
      </c>
    </row>
    <row r="75" spans="1:38" x14ac:dyDescent="0.25">
      <c r="A75" s="93"/>
      <c r="B75" s="111"/>
    </row>
    <row r="76" spans="1:38" x14ac:dyDescent="0.25">
      <c r="A76" s="93"/>
      <c r="B76" s="111"/>
    </row>
    <row r="77" spans="1:38" x14ac:dyDescent="0.25">
      <c r="A77" s="93"/>
      <c r="B77" s="111"/>
    </row>
    <row r="78" spans="1:38" x14ac:dyDescent="0.25">
      <c r="A78" s="96"/>
      <c r="B78" s="112"/>
    </row>
    <row r="79" spans="1:38" x14ac:dyDescent="0.25">
      <c r="A79" s="96"/>
      <c r="B79" s="112"/>
    </row>
    <row r="80" spans="1:38" x14ac:dyDescent="0.25">
      <c r="A80" s="96"/>
      <c r="B80" s="112"/>
    </row>
    <row r="81" spans="1:2" x14ac:dyDescent="0.25">
      <c r="A81" s="96"/>
      <c r="B81" s="112"/>
    </row>
    <row r="82" spans="1:2" x14ac:dyDescent="0.25">
      <c r="A82" s="97"/>
      <c r="B82" s="90"/>
    </row>
    <row r="83" spans="1:2" x14ac:dyDescent="0.25">
      <c r="A83" s="97"/>
      <c r="B83" s="113"/>
    </row>
    <row r="84" spans="1:2" x14ac:dyDescent="0.25">
      <c r="A84" s="97"/>
      <c r="B84" s="90"/>
    </row>
    <row r="85" spans="1:2" x14ac:dyDescent="0.25">
      <c r="A85" s="97"/>
      <c r="B85" s="90"/>
    </row>
    <row r="86" spans="1:2" x14ac:dyDescent="0.25">
      <c r="A86" s="97"/>
      <c r="B86" s="113"/>
    </row>
  </sheetData>
  <sheetProtection sheet="1" objects="1" scenarios="1"/>
  <mergeCells count="1">
    <mergeCell ref="A1:A2"/>
  </mergeCells>
  <dataValidations count="1">
    <dataValidation type="list" allowBlank="1" showInputMessage="1" showErrorMessage="1" sqref="A6:A21" xr:uid="{7286103C-CF1E-45CF-B5C7-26DA585F6FD3}">
      <formula1>alimentos</formula1>
    </dataValidation>
  </dataValidations>
  <pageMargins left="0.78740157499999996" right="0.78740157499999996" top="0.984251969" bottom="0.984251969" header="0.49212598499999999" footer="0.49212598499999999"/>
  <pageSetup paperSize="9" orientation="portrait" horizontalDpi="300" verticalDpi="3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EE8F2-5EA3-4E2A-A27E-D623907AEECB}">
  <dimension ref="A1:AV86"/>
  <sheetViews>
    <sheetView tabSelected="1" zoomScale="80" zoomScaleNormal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24" sqref="F24"/>
    </sheetView>
  </sheetViews>
  <sheetFormatPr defaultRowHeight="16.5" x14ac:dyDescent="0.25"/>
  <cols>
    <col min="1" max="1" width="34.85546875" style="77" bestFit="1" customWidth="1"/>
    <col min="2" max="2" width="15.5703125" style="87" bestFit="1" customWidth="1"/>
    <col min="3" max="3" width="22.7109375" style="87" bestFit="1" customWidth="1"/>
    <col min="4" max="4" width="20.28515625" style="87" bestFit="1" customWidth="1"/>
    <col min="5" max="5" width="22.140625" style="113" bestFit="1" customWidth="1"/>
    <col min="6" max="6" width="22.85546875" style="87" bestFit="1" customWidth="1"/>
    <col min="7" max="7" width="15" style="113" bestFit="1" customWidth="1"/>
    <col min="8" max="8" width="14.7109375" style="90" customWidth="1"/>
    <col min="9" max="9" width="15" style="87" bestFit="1" customWidth="1"/>
    <col min="10" max="21" width="13.28515625" style="87" customWidth="1"/>
    <col min="22" max="22" width="18.42578125" style="87" bestFit="1" customWidth="1"/>
    <col min="23" max="25" width="13.28515625" style="87" customWidth="1"/>
    <col min="26" max="26" width="15.5703125" style="87" bestFit="1" customWidth="1"/>
    <col min="27" max="28" width="13.85546875" style="87" bestFit="1" customWidth="1"/>
    <col min="29" max="29" width="15.5703125" style="87" bestFit="1" customWidth="1"/>
    <col min="30" max="30" width="13.28515625" style="87" customWidth="1"/>
    <col min="31" max="31" width="15.5703125" style="87" bestFit="1" customWidth="1"/>
    <col min="32" max="35" width="13.28515625" style="87" customWidth="1"/>
    <col min="36" max="44" width="13.28515625" style="77" customWidth="1"/>
    <col min="45" max="45" width="17" style="77" bestFit="1" customWidth="1"/>
    <col min="46" max="46" width="9.140625" style="77" hidden="1" customWidth="1"/>
    <col min="47" max="47" width="10.42578125" style="77" hidden="1" customWidth="1"/>
    <col min="48" max="48" width="0" style="77" hidden="1" customWidth="1"/>
    <col min="49" max="16384" width="9.140625" style="77"/>
  </cols>
  <sheetData>
    <row r="1" spans="1:47" ht="18.75" customHeight="1" thickBot="1" x14ac:dyDescent="0.3">
      <c r="A1" s="245" t="s">
        <v>175</v>
      </c>
      <c r="B1" s="173" t="s">
        <v>311</v>
      </c>
      <c r="C1" s="173" t="s">
        <v>312</v>
      </c>
      <c r="D1" s="174" t="s">
        <v>307</v>
      </c>
      <c r="E1" s="174" t="s">
        <v>308</v>
      </c>
      <c r="F1" s="173" t="s">
        <v>309</v>
      </c>
      <c r="G1" s="173" t="s">
        <v>304</v>
      </c>
      <c r="H1" s="175" t="s">
        <v>305</v>
      </c>
      <c r="I1" s="176" t="s">
        <v>306</v>
      </c>
      <c r="J1" s="173"/>
      <c r="K1" s="173"/>
      <c r="O1" s="77"/>
      <c r="P1" s="77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</row>
    <row r="2" spans="1:47" ht="17.25" customHeight="1" thickTop="1" thickBot="1" x14ac:dyDescent="0.3">
      <c r="A2" s="246"/>
      <c r="B2" s="177"/>
      <c r="C2" s="178"/>
      <c r="D2" s="178"/>
      <c r="E2" s="178"/>
      <c r="F2" s="179"/>
      <c r="G2" s="180"/>
      <c r="H2" s="180"/>
      <c r="I2" s="181"/>
      <c r="K2" s="173"/>
      <c r="P2" s="77"/>
    </row>
    <row r="3" spans="1:47" ht="17.25" thickTop="1" x14ac:dyDescent="0.25">
      <c r="A3" s="88"/>
      <c r="B3" s="89"/>
      <c r="C3" s="85"/>
      <c r="D3" s="75"/>
      <c r="E3" s="77"/>
      <c r="F3" s="77"/>
      <c r="G3" s="77"/>
      <c r="I3" s="77"/>
      <c r="J3" s="75"/>
      <c r="K3" s="173"/>
    </row>
    <row r="4" spans="1:47" s="98" customFormat="1" x14ac:dyDescent="0.25">
      <c r="A4" s="92" t="s">
        <v>1</v>
      </c>
      <c r="B4" s="85" t="s">
        <v>108</v>
      </c>
      <c r="C4" s="85"/>
      <c r="D4" s="85"/>
      <c r="E4" s="93" t="s">
        <v>2</v>
      </c>
      <c r="F4" s="93" t="s">
        <v>3</v>
      </c>
      <c r="G4" s="93" t="s">
        <v>3</v>
      </c>
      <c r="H4" s="93" t="s">
        <v>3</v>
      </c>
      <c r="I4" s="93" t="s">
        <v>3</v>
      </c>
      <c r="J4" s="94" t="s">
        <v>3</v>
      </c>
      <c r="K4" s="94" t="s">
        <v>109</v>
      </c>
      <c r="L4" s="94" t="s">
        <v>109</v>
      </c>
      <c r="M4" s="93" t="s">
        <v>3</v>
      </c>
      <c r="N4" s="93" t="s">
        <v>3</v>
      </c>
      <c r="O4" s="95" t="s">
        <v>4</v>
      </c>
      <c r="P4" s="93" t="s">
        <v>3</v>
      </c>
      <c r="Q4" s="93" t="s">
        <v>3</v>
      </c>
      <c r="R4" s="94" t="s">
        <v>3</v>
      </c>
      <c r="S4" s="93" t="s">
        <v>3</v>
      </c>
      <c r="T4" s="93" t="s">
        <v>3</v>
      </c>
      <c r="U4" s="94" t="s">
        <v>3</v>
      </c>
      <c r="V4" s="94" t="s">
        <v>100</v>
      </c>
      <c r="W4" s="96" t="s">
        <v>3</v>
      </c>
      <c r="X4" s="96" t="s">
        <v>3</v>
      </c>
      <c r="Y4" s="96" t="s">
        <v>3</v>
      </c>
      <c r="Z4" s="96" t="s">
        <v>3</v>
      </c>
      <c r="AA4" s="96" t="s">
        <v>3</v>
      </c>
      <c r="AB4" s="96" t="s">
        <v>3</v>
      </c>
      <c r="AC4" s="96" t="s">
        <v>3</v>
      </c>
      <c r="AD4" s="96" t="s">
        <v>3</v>
      </c>
      <c r="AE4" s="96" t="s">
        <v>3</v>
      </c>
      <c r="AF4" s="97" t="s">
        <v>34</v>
      </c>
      <c r="AG4" s="97" t="s">
        <v>34</v>
      </c>
      <c r="AH4" s="97" t="s">
        <v>34</v>
      </c>
      <c r="AI4" s="97" t="s">
        <v>34</v>
      </c>
      <c r="AJ4" s="97" t="s">
        <v>34</v>
      </c>
      <c r="AK4" s="97" t="s">
        <v>34</v>
      </c>
      <c r="AL4" s="97" t="s">
        <v>34</v>
      </c>
      <c r="AM4" s="97" t="s">
        <v>36</v>
      </c>
      <c r="AN4" s="97" t="s">
        <v>36</v>
      </c>
      <c r="AO4" s="97" t="s">
        <v>36</v>
      </c>
      <c r="AP4" s="97" t="s">
        <v>34</v>
      </c>
      <c r="AQ4" s="97" t="s">
        <v>34</v>
      </c>
      <c r="AR4" s="97" t="s">
        <v>34</v>
      </c>
      <c r="AS4" s="97" t="s">
        <v>172</v>
      </c>
    </row>
    <row r="5" spans="1:47" s="98" customFormat="1" ht="17.25" thickBot="1" x14ac:dyDescent="0.3">
      <c r="A5" s="98" t="s">
        <v>5</v>
      </c>
      <c r="B5" s="85" t="s">
        <v>6</v>
      </c>
      <c r="C5" s="85"/>
      <c r="D5" s="85"/>
      <c r="E5" s="93" t="s">
        <v>7</v>
      </c>
      <c r="F5" s="93" t="s">
        <v>8</v>
      </c>
      <c r="G5" s="93" t="s">
        <v>9</v>
      </c>
      <c r="H5" s="93" t="s">
        <v>67</v>
      </c>
      <c r="I5" s="93" t="s">
        <v>10</v>
      </c>
      <c r="J5" s="94" t="s">
        <v>11</v>
      </c>
      <c r="K5" s="94" t="s">
        <v>110</v>
      </c>
      <c r="L5" s="94" t="s">
        <v>111</v>
      </c>
      <c r="M5" s="93" t="s">
        <v>12</v>
      </c>
      <c r="N5" s="93" t="s">
        <v>13</v>
      </c>
      <c r="O5" s="95" t="s">
        <v>14</v>
      </c>
      <c r="P5" s="93" t="s">
        <v>15</v>
      </c>
      <c r="Q5" s="93" t="s">
        <v>16</v>
      </c>
      <c r="R5" s="94" t="s">
        <v>114</v>
      </c>
      <c r="S5" s="93" t="s">
        <v>17</v>
      </c>
      <c r="T5" s="93" t="s">
        <v>18</v>
      </c>
      <c r="U5" s="93" t="s">
        <v>99</v>
      </c>
      <c r="V5" s="94" t="s">
        <v>101</v>
      </c>
      <c r="W5" s="96" t="s">
        <v>19</v>
      </c>
      <c r="X5" s="96" t="s">
        <v>20</v>
      </c>
      <c r="Y5" s="96" t="s">
        <v>21</v>
      </c>
      <c r="Z5" s="96" t="s">
        <v>22</v>
      </c>
      <c r="AA5" s="96" t="s">
        <v>23</v>
      </c>
      <c r="AB5" s="96" t="s">
        <v>24</v>
      </c>
      <c r="AC5" s="96" t="s">
        <v>25</v>
      </c>
      <c r="AD5" s="96" t="s">
        <v>26</v>
      </c>
      <c r="AE5" s="96" t="s">
        <v>27</v>
      </c>
      <c r="AF5" s="97" t="s">
        <v>37</v>
      </c>
      <c r="AG5" s="97" t="s">
        <v>38</v>
      </c>
      <c r="AH5" s="97" t="s">
        <v>41</v>
      </c>
      <c r="AI5" s="97" t="s">
        <v>43</v>
      </c>
      <c r="AJ5" s="97" t="s">
        <v>42</v>
      </c>
      <c r="AK5" s="97" t="s">
        <v>40</v>
      </c>
      <c r="AL5" s="97" t="s">
        <v>39</v>
      </c>
      <c r="AM5" s="97" t="s">
        <v>44</v>
      </c>
      <c r="AN5" s="97" t="s">
        <v>45</v>
      </c>
      <c r="AO5" s="97" t="s">
        <v>46</v>
      </c>
      <c r="AP5" s="97" t="s">
        <v>47</v>
      </c>
      <c r="AQ5" s="97" t="s">
        <v>48</v>
      </c>
      <c r="AR5" s="97" t="s">
        <v>170</v>
      </c>
      <c r="AS5" s="97" t="s">
        <v>171</v>
      </c>
    </row>
    <row r="6" spans="1:47" ht="17.25" thickTop="1" x14ac:dyDescent="0.25">
      <c r="A6" s="101" t="s">
        <v>60</v>
      </c>
      <c r="B6" s="102">
        <f>VLOOKUP($A6,Alimentos!$A:$BA,2,FALSE)</f>
        <v>0</v>
      </c>
      <c r="C6" s="103">
        <f>VLOOKUP($A6,Alimentos!$A:$BA,4,FALSE)</f>
        <v>0</v>
      </c>
      <c r="D6" s="102"/>
      <c r="E6" s="104">
        <f>VLOOKUP($A6,Alimentos!$A:$BA,5,FALSE)</f>
        <v>0</v>
      </c>
      <c r="F6" s="104">
        <f>VLOOKUP($A6,Alimentos!$A:$BA,6,FALSE)</f>
        <v>0</v>
      </c>
      <c r="G6" s="104">
        <f>VLOOKUP($A6,Alimentos!$A:$BA,7,FALSE)</f>
        <v>0</v>
      </c>
      <c r="H6" s="104">
        <f>VLOOKUP($A6,Alimentos!$A:$BA,8,FALSE)</f>
        <v>0</v>
      </c>
      <c r="I6" s="104">
        <f>VLOOKUP($A6,Alimentos!$A:$BA,9,FALSE)</f>
        <v>0</v>
      </c>
      <c r="J6" s="104">
        <f>VLOOKUP($A6,Alimentos!$A:$BA,10,FALSE)</f>
        <v>0</v>
      </c>
      <c r="K6" s="104">
        <f>VLOOKUP($A6,Alimentos!$A:$BA,11,FALSE)</f>
        <v>0</v>
      </c>
      <c r="L6" s="104">
        <f>VLOOKUP($A6,Alimentos!$A:$BA,12,FALSE)</f>
        <v>0</v>
      </c>
      <c r="M6" s="104">
        <f>VLOOKUP($A6,Alimentos!$A:$BA,13,FALSE)</f>
        <v>0</v>
      </c>
      <c r="N6" s="104">
        <f>VLOOKUP($A6,Alimentos!$A:$BA,14,FALSE)</f>
        <v>0</v>
      </c>
      <c r="O6" s="105">
        <f>VLOOKUP($A6,Alimentos!$A:$BA,15,FALSE)</f>
        <v>0</v>
      </c>
      <c r="P6" s="104">
        <f>VLOOKUP($A6,Alimentos!$A:$BA,16,FALSE)</f>
        <v>0</v>
      </c>
      <c r="Q6" s="104">
        <f>VLOOKUP($A6,Alimentos!$A:$BA,17,FALSE)</f>
        <v>0</v>
      </c>
      <c r="R6" s="104">
        <f>VLOOKUP($A6,Alimentos!$A:$BA,18,FALSE)</f>
        <v>0</v>
      </c>
      <c r="S6" s="104">
        <f>VLOOKUP($A6,Alimentos!$A:$BA,19,FALSE)</f>
        <v>0</v>
      </c>
      <c r="T6" s="104">
        <f>VLOOKUP($A6,Alimentos!$A:$BA,20,FALSE)</f>
        <v>0</v>
      </c>
      <c r="U6" s="104">
        <f>VLOOKUP($A6,Alimentos!$A:$BA,21,FALSE)</f>
        <v>0</v>
      </c>
      <c r="V6" s="104">
        <f>VLOOKUP($A6,Alimentos!$A:$BA,22,FALSE)</f>
        <v>0</v>
      </c>
      <c r="W6" s="106">
        <f>VLOOKUP($A6,Alimentos!$A:$BA,23,FALSE)</f>
        <v>0</v>
      </c>
      <c r="X6" s="106">
        <f>VLOOKUP($A6,Alimentos!$A:$BA,24,FALSE)</f>
        <v>0</v>
      </c>
      <c r="Y6" s="106">
        <f>VLOOKUP($A6,Alimentos!$A:$BA,25,FALSE)</f>
        <v>0</v>
      </c>
      <c r="Z6" s="106">
        <f>VLOOKUP($A6,Alimentos!$A:$BA,26,FALSE)</f>
        <v>0</v>
      </c>
      <c r="AA6" s="106">
        <f>VLOOKUP($A6,Alimentos!$A:$BA,27,FALSE)</f>
        <v>0</v>
      </c>
      <c r="AB6" s="106">
        <f>VLOOKUP($A6,Alimentos!$A:$BA,28,FALSE)</f>
        <v>0</v>
      </c>
      <c r="AC6" s="106">
        <f>VLOOKUP($A6,Alimentos!$A:$BA,29,FALSE)</f>
        <v>0</v>
      </c>
      <c r="AD6" s="106">
        <f>VLOOKUP($A6,Alimentos!$A:$BA,30,FALSE)</f>
        <v>0</v>
      </c>
      <c r="AE6" s="106">
        <f>VLOOKUP($A6,Alimentos!$A:$BA,31,FALSE)</f>
        <v>0</v>
      </c>
      <c r="AF6" s="107">
        <f>VLOOKUP($A6,Alimentos!$A:$BA,32,FALSE)</f>
        <v>0</v>
      </c>
      <c r="AG6" s="107">
        <f>VLOOKUP($A6,Alimentos!$A:$BA,33,FALSE)</f>
        <v>0</v>
      </c>
      <c r="AH6" s="107">
        <f>VLOOKUP($A6,Alimentos!$A:$BA,34,FALSE)</f>
        <v>0</v>
      </c>
      <c r="AI6" s="107">
        <f>VLOOKUP($A6,Alimentos!$A:$BA,35,FALSE)</f>
        <v>0</v>
      </c>
      <c r="AJ6" s="107">
        <f>VLOOKUP($A6,Alimentos!$A:$BA,36,FALSE)</f>
        <v>0</v>
      </c>
      <c r="AK6" s="107">
        <f>VLOOKUP($A6,Alimentos!$A:$BA,37,FALSE)</f>
        <v>0</v>
      </c>
      <c r="AL6" s="107">
        <f>VLOOKUP($A6,Alimentos!$A:$BA,38,FALSE)</f>
        <v>0</v>
      </c>
      <c r="AM6" s="107">
        <f>VLOOKUP($A6,Alimentos!$A:$BA,39,FALSE)</f>
        <v>0</v>
      </c>
      <c r="AN6" s="107">
        <f>VLOOKUP($A6,Alimentos!$A:$BA,40,FALSE)</f>
        <v>0</v>
      </c>
      <c r="AO6" s="107">
        <f>VLOOKUP($A6,Alimentos!$A:$BA,41,FALSE)</f>
        <v>0</v>
      </c>
      <c r="AP6" s="107">
        <f>VLOOKUP($A6,Alimentos!$A:$BA,42,FALSE)</f>
        <v>0</v>
      </c>
      <c r="AQ6" s="107">
        <f>VLOOKUP($A6,Alimentos!$A:$BA,43,FALSE)</f>
        <v>0</v>
      </c>
      <c r="AR6" s="107">
        <f>VLOOKUP($A6,Alimentos!$A:$BA,44,FALSE)</f>
        <v>0</v>
      </c>
      <c r="AS6" s="107">
        <f>VLOOKUP($A6,Alimentos!$A:$BA,45,FALSE)</f>
        <v>0</v>
      </c>
    </row>
    <row r="7" spans="1:47" x14ac:dyDescent="0.25">
      <c r="A7" s="108" t="s">
        <v>60</v>
      </c>
      <c r="B7" s="109">
        <f>VLOOKUP($A7,Alimentos!$A:$BA,2,FALSE)</f>
        <v>0</v>
      </c>
      <c r="C7" s="110">
        <f>VLOOKUP($A7,Alimentos!$A:$BA,4,FALSE)</f>
        <v>0</v>
      </c>
      <c r="D7" s="109"/>
      <c r="E7" s="111">
        <f>VLOOKUP($A7,Alimentos!$A:$BA,5,FALSE)</f>
        <v>0</v>
      </c>
      <c r="F7" s="111">
        <f>VLOOKUP($A7,Alimentos!$A:$BA,6,FALSE)</f>
        <v>0</v>
      </c>
      <c r="G7" s="111">
        <f>VLOOKUP($A7,Alimentos!$A:$BA,7,FALSE)</f>
        <v>0</v>
      </c>
      <c r="H7" s="111">
        <f>VLOOKUP($A7,Alimentos!$A:$BA,8,FALSE)</f>
        <v>0</v>
      </c>
      <c r="I7" s="111">
        <f>VLOOKUP($A7,Alimentos!$A:$BA,9,FALSE)</f>
        <v>0</v>
      </c>
      <c r="J7" s="111">
        <f>VLOOKUP($A7,Alimentos!$A:$BA,10,FALSE)</f>
        <v>0</v>
      </c>
      <c r="K7" s="111">
        <f>VLOOKUP($A7,Alimentos!$A:$BA,11,FALSE)</f>
        <v>0</v>
      </c>
      <c r="L7" s="111">
        <f>VLOOKUP($A7,Alimentos!$A:$BA,12,FALSE)</f>
        <v>0</v>
      </c>
      <c r="M7" s="111">
        <f>VLOOKUP($A7,Alimentos!$A:$BA,13,FALSE)</f>
        <v>0</v>
      </c>
      <c r="N7" s="111">
        <f>VLOOKUP($A7,Alimentos!$A:$BA,14,FALSE)</f>
        <v>0</v>
      </c>
      <c r="O7" s="90">
        <f>VLOOKUP($A7,Alimentos!$A:$BA,15,FALSE)</f>
        <v>0</v>
      </c>
      <c r="P7" s="111">
        <f>VLOOKUP($A7,Alimentos!$A:$BA,16,FALSE)</f>
        <v>0</v>
      </c>
      <c r="Q7" s="111">
        <f>VLOOKUP($A7,Alimentos!$A:$BA,17,FALSE)</f>
        <v>0</v>
      </c>
      <c r="R7" s="111">
        <f>VLOOKUP($A7,Alimentos!$A:$BA,18,FALSE)</f>
        <v>0</v>
      </c>
      <c r="S7" s="111">
        <f>VLOOKUP($A7,Alimentos!$A:$BA,19,FALSE)</f>
        <v>0</v>
      </c>
      <c r="T7" s="111">
        <f>VLOOKUP($A7,Alimentos!$A:$BA,20,FALSE)</f>
        <v>0</v>
      </c>
      <c r="U7" s="111">
        <f>VLOOKUP($A7,Alimentos!$A:$BA,21,FALSE)</f>
        <v>0</v>
      </c>
      <c r="V7" s="111">
        <f>VLOOKUP($A7,Alimentos!$A:$BA,22,FALSE)</f>
        <v>0</v>
      </c>
      <c r="W7" s="112">
        <f>VLOOKUP($A7,Alimentos!$A:$BA,23,FALSE)</f>
        <v>0</v>
      </c>
      <c r="X7" s="112">
        <f>VLOOKUP($A7,Alimentos!$A:$BA,24,FALSE)</f>
        <v>0</v>
      </c>
      <c r="Y7" s="112">
        <f>VLOOKUP($A7,Alimentos!$A:$BA,25,FALSE)</f>
        <v>0</v>
      </c>
      <c r="Z7" s="112">
        <f>VLOOKUP($A7,Alimentos!$A:$BA,26,FALSE)</f>
        <v>0</v>
      </c>
      <c r="AA7" s="112">
        <f>VLOOKUP($A7,Alimentos!$A:$BA,27,FALSE)</f>
        <v>0</v>
      </c>
      <c r="AB7" s="112">
        <f>VLOOKUP($A7,Alimentos!$A:$BA,28,FALSE)</f>
        <v>0</v>
      </c>
      <c r="AC7" s="112">
        <f>VLOOKUP($A7,Alimentos!$A:$BA,29,FALSE)</f>
        <v>0</v>
      </c>
      <c r="AD7" s="112">
        <f>VLOOKUP($A7,Alimentos!$A:$BA,30,FALSE)</f>
        <v>0</v>
      </c>
      <c r="AE7" s="112">
        <f>VLOOKUP($A7,Alimentos!$A:$BA,31,FALSE)</f>
        <v>0</v>
      </c>
      <c r="AF7" s="113">
        <f>VLOOKUP($A7,Alimentos!$A:$BA,32,FALSE)</f>
        <v>0</v>
      </c>
      <c r="AG7" s="113">
        <f>VLOOKUP($A7,Alimentos!$A:$BA,33,FALSE)</f>
        <v>0</v>
      </c>
      <c r="AH7" s="113">
        <f>VLOOKUP($A7,Alimentos!$A:$BA,34,FALSE)</f>
        <v>0</v>
      </c>
      <c r="AI7" s="113">
        <f>VLOOKUP($A7,Alimentos!$A:$BA,35,FALSE)</f>
        <v>0</v>
      </c>
      <c r="AJ7" s="113">
        <f>VLOOKUP($A7,Alimentos!$A:$BA,36,FALSE)</f>
        <v>0</v>
      </c>
      <c r="AK7" s="113">
        <f>VLOOKUP($A7,Alimentos!$A:$BA,37,FALSE)</f>
        <v>0</v>
      </c>
      <c r="AL7" s="113">
        <f>VLOOKUP($A7,Alimentos!$A:$BA,38,FALSE)</f>
        <v>0</v>
      </c>
      <c r="AM7" s="113">
        <f>VLOOKUP($A7,Alimentos!$A:$BA,39,FALSE)</f>
        <v>0</v>
      </c>
      <c r="AN7" s="113">
        <f>VLOOKUP($A7,Alimentos!$A:$BA,40,FALSE)</f>
        <v>0</v>
      </c>
      <c r="AO7" s="113">
        <f>VLOOKUP($A7,Alimentos!$A:$BA,41,FALSE)</f>
        <v>0</v>
      </c>
      <c r="AP7" s="113">
        <f>VLOOKUP($A7,Alimentos!$A:$BA,42,FALSE)</f>
        <v>0</v>
      </c>
      <c r="AQ7" s="113">
        <f>VLOOKUP($A7,Alimentos!$A:$BA,43,FALSE)</f>
        <v>0</v>
      </c>
      <c r="AR7" s="113">
        <f>VLOOKUP($A7,Alimentos!$A:$BA,44,FALSE)</f>
        <v>0</v>
      </c>
      <c r="AS7" s="113">
        <f>VLOOKUP($A7,Alimentos!$A:$BA,45,FALSE)</f>
        <v>0</v>
      </c>
    </row>
    <row r="8" spans="1:47" x14ac:dyDescent="0.25">
      <c r="A8" s="108" t="s">
        <v>60</v>
      </c>
      <c r="B8" s="109">
        <f>VLOOKUP($A8,Alimentos!$A:$BA,2,FALSE)</f>
        <v>0</v>
      </c>
      <c r="C8" s="114">
        <f>VLOOKUP($A8,Alimentos!$A:$BA,4,FALSE)</f>
        <v>0</v>
      </c>
      <c r="E8" s="111">
        <f>VLOOKUP($A8,Alimentos!$A:$BA,5,FALSE)</f>
        <v>0</v>
      </c>
      <c r="F8" s="111">
        <f>VLOOKUP($A8,Alimentos!$A:$BA,6,FALSE)</f>
        <v>0</v>
      </c>
      <c r="G8" s="111">
        <f>VLOOKUP($A8,Alimentos!$A:$BA,7,FALSE)</f>
        <v>0</v>
      </c>
      <c r="H8" s="111">
        <f>VLOOKUP($A8,Alimentos!$A:$BA,8,FALSE)</f>
        <v>0</v>
      </c>
      <c r="I8" s="111">
        <f>VLOOKUP($A8,Alimentos!$A:$BA,9,FALSE)</f>
        <v>0</v>
      </c>
      <c r="J8" s="111">
        <f>VLOOKUP($A8,Alimentos!$A:$BA,10,FALSE)</f>
        <v>0</v>
      </c>
      <c r="K8" s="111">
        <f>VLOOKUP($A8,Alimentos!$A:$BA,11,FALSE)</f>
        <v>0</v>
      </c>
      <c r="L8" s="111">
        <f>VLOOKUP($A8,Alimentos!$A:$BA,12,FALSE)</f>
        <v>0</v>
      </c>
      <c r="M8" s="111">
        <f>VLOOKUP($A8,Alimentos!$A:$BA,13,FALSE)</f>
        <v>0</v>
      </c>
      <c r="N8" s="111">
        <f>VLOOKUP($A8,Alimentos!$A:$BA,14,FALSE)</f>
        <v>0</v>
      </c>
      <c r="O8" s="90">
        <f>VLOOKUP($A8,Alimentos!$A:$BA,15,FALSE)</f>
        <v>0</v>
      </c>
      <c r="P8" s="111">
        <f>VLOOKUP($A8,Alimentos!$A:$BA,16,FALSE)</f>
        <v>0</v>
      </c>
      <c r="Q8" s="111">
        <f>VLOOKUP($A8,Alimentos!$A:$BA,17,FALSE)</f>
        <v>0</v>
      </c>
      <c r="R8" s="111">
        <f>VLOOKUP($A8,Alimentos!$A:$BA,18,FALSE)</f>
        <v>0</v>
      </c>
      <c r="S8" s="111">
        <f>VLOOKUP($A8,Alimentos!$A:$BA,19,FALSE)</f>
        <v>0</v>
      </c>
      <c r="T8" s="111">
        <f>VLOOKUP($A8,Alimentos!$A:$BA,20,FALSE)</f>
        <v>0</v>
      </c>
      <c r="U8" s="111">
        <f>VLOOKUP($A8,Alimentos!$A:$BA,21,FALSE)</f>
        <v>0</v>
      </c>
      <c r="V8" s="111">
        <f>VLOOKUP($A8,Alimentos!$A:$BA,22,FALSE)</f>
        <v>0</v>
      </c>
      <c r="W8" s="112">
        <f>VLOOKUP($A8,Alimentos!$A:$BA,23,FALSE)</f>
        <v>0</v>
      </c>
      <c r="X8" s="112">
        <f>VLOOKUP($A8,Alimentos!$A:$BA,24,FALSE)</f>
        <v>0</v>
      </c>
      <c r="Y8" s="112">
        <f>VLOOKUP($A8,Alimentos!$A:$BA,25,FALSE)</f>
        <v>0</v>
      </c>
      <c r="Z8" s="112">
        <f>VLOOKUP($A8,Alimentos!$A:$BA,26,FALSE)</f>
        <v>0</v>
      </c>
      <c r="AA8" s="112">
        <f>VLOOKUP($A8,Alimentos!$A:$BA,27,FALSE)</f>
        <v>0</v>
      </c>
      <c r="AB8" s="112">
        <f>VLOOKUP($A8,Alimentos!$A:$BA,28,FALSE)</f>
        <v>0</v>
      </c>
      <c r="AC8" s="112">
        <f>VLOOKUP($A8,Alimentos!$A:$BA,29,FALSE)</f>
        <v>0</v>
      </c>
      <c r="AD8" s="112">
        <f>VLOOKUP($A8,Alimentos!$A:$BA,30,FALSE)</f>
        <v>0</v>
      </c>
      <c r="AE8" s="112">
        <f>VLOOKUP($A8,Alimentos!$A:$BA,31,FALSE)</f>
        <v>0</v>
      </c>
      <c r="AF8" s="113">
        <f>VLOOKUP($A8,Alimentos!$A:$BA,32,FALSE)</f>
        <v>0</v>
      </c>
      <c r="AG8" s="113">
        <f>VLOOKUP($A8,Alimentos!$A:$BA,33,FALSE)</f>
        <v>0</v>
      </c>
      <c r="AH8" s="113">
        <f>VLOOKUP($A8,Alimentos!$A:$BA,34,FALSE)</f>
        <v>0</v>
      </c>
      <c r="AI8" s="113">
        <f>VLOOKUP($A8,Alimentos!$A:$BA,35,FALSE)</f>
        <v>0</v>
      </c>
      <c r="AJ8" s="113">
        <f>VLOOKUP($A8,Alimentos!$A:$BA,36,FALSE)</f>
        <v>0</v>
      </c>
      <c r="AK8" s="113">
        <f>VLOOKUP($A8,Alimentos!$A:$BA,37,FALSE)</f>
        <v>0</v>
      </c>
      <c r="AL8" s="113">
        <f>VLOOKUP($A8,Alimentos!$A:$BA,38,FALSE)</f>
        <v>0</v>
      </c>
      <c r="AM8" s="113">
        <f>VLOOKUP($A8,Alimentos!$A:$BA,39,FALSE)</f>
        <v>0</v>
      </c>
      <c r="AN8" s="113">
        <f>VLOOKUP($A8,Alimentos!$A:$BA,40,FALSE)</f>
        <v>0</v>
      </c>
      <c r="AO8" s="113">
        <f>VLOOKUP($A8,Alimentos!$A:$BA,41,FALSE)</f>
        <v>0</v>
      </c>
      <c r="AP8" s="113">
        <f>VLOOKUP($A8,Alimentos!$A:$BA,42,FALSE)</f>
        <v>0</v>
      </c>
      <c r="AQ8" s="113">
        <f>VLOOKUP($A8,Alimentos!$A:$BA,43,FALSE)</f>
        <v>0</v>
      </c>
      <c r="AR8" s="113">
        <f>VLOOKUP($A8,Alimentos!$A:$BA,44,FALSE)</f>
        <v>0</v>
      </c>
      <c r="AS8" s="113">
        <f>VLOOKUP($A8,Alimentos!$A:$BA,45,FALSE)</f>
        <v>0</v>
      </c>
    </row>
    <row r="9" spans="1:47" x14ac:dyDescent="0.25">
      <c r="A9" s="108" t="s">
        <v>60</v>
      </c>
      <c r="B9" s="109">
        <f>VLOOKUP($A9,Alimentos!$A:$BA,2,FALSE)</f>
        <v>0</v>
      </c>
      <c r="C9" s="114">
        <f>VLOOKUP($A9,Alimentos!$A:$BA,4,FALSE)</f>
        <v>0</v>
      </c>
      <c r="E9" s="111">
        <f>VLOOKUP($A9,Alimentos!$A:$BA,5,FALSE)</f>
        <v>0</v>
      </c>
      <c r="F9" s="111">
        <f>VLOOKUP($A9,Alimentos!$A:$BA,6,FALSE)</f>
        <v>0</v>
      </c>
      <c r="G9" s="111">
        <f>VLOOKUP($A9,Alimentos!$A:$BA,7,FALSE)</f>
        <v>0</v>
      </c>
      <c r="H9" s="111">
        <f>VLOOKUP($A9,Alimentos!$A:$BA,8,FALSE)</f>
        <v>0</v>
      </c>
      <c r="I9" s="111">
        <f>VLOOKUP($A9,Alimentos!$A:$BA,9,FALSE)</f>
        <v>0</v>
      </c>
      <c r="J9" s="111">
        <f>VLOOKUP($A9,Alimentos!$A:$BA,10,FALSE)</f>
        <v>0</v>
      </c>
      <c r="K9" s="111">
        <f>VLOOKUP($A9,Alimentos!$A:$BA,11,FALSE)</f>
        <v>0</v>
      </c>
      <c r="L9" s="111">
        <f>VLOOKUP($A9,Alimentos!$A:$BA,12,FALSE)</f>
        <v>0</v>
      </c>
      <c r="M9" s="111">
        <f>VLOOKUP($A9,Alimentos!$A:$BA,13,FALSE)</f>
        <v>0</v>
      </c>
      <c r="N9" s="111">
        <f>VLOOKUP($A9,Alimentos!$A:$BA,14,FALSE)</f>
        <v>0</v>
      </c>
      <c r="O9" s="90">
        <f>VLOOKUP($A9,Alimentos!$A:$BA,15,FALSE)</f>
        <v>0</v>
      </c>
      <c r="P9" s="111">
        <f>VLOOKUP($A9,Alimentos!$A:$BA,16,FALSE)</f>
        <v>0</v>
      </c>
      <c r="Q9" s="111">
        <f>VLOOKUP($A9,Alimentos!$A:$BA,17,FALSE)</f>
        <v>0</v>
      </c>
      <c r="R9" s="111">
        <f>VLOOKUP($A9,Alimentos!$A:$BA,18,FALSE)</f>
        <v>0</v>
      </c>
      <c r="S9" s="111">
        <f>VLOOKUP($A9,Alimentos!$A:$BA,19,FALSE)</f>
        <v>0</v>
      </c>
      <c r="T9" s="111">
        <f>VLOOKUP($A9,Alimentos!$A:$BA,20,FALSE)</f>
        <v>0</v>
      </c>
      <c r="U9" s="111">
        <f>VLOOKUP($A9,Alimentos!$A:$BA,21,FALSE)</f>
        <v>0</v>
      </c>
      <c r="V9" s="111">
        <f>VLOOKUP($A9,Alimentos!$A:$BA,22,FALSE)</f>
        <v>0</v>
      </c>
      <c r="W9" s="112">
        <f>VLOOKUP($A9,Alimentos!$A:$BA,23,FALSE)</f>
        <v>0</v>
      </c>
      <c r="X9" s="112">
        <f>VLOOKUP($A9,Alimentos!$A:$BA,24,FALSE)</f>
        <v>0</v>
      </c>
      <c r="Y9" s="112">
        <f>VLOOKUP($A9,Alimentos!$A:$BA,25,FALSE)</f>
        <v>0</v>
      </c>
      <c r="Z9" s="112">
        <f>VLOOKUP($A9,Alimentos!$A:$BA,26,FALSE)</f>
        <v>0</v>
      </c>
      <c r="AA9" s="112">
        <f>VLOOKUP($A9,Alimentos!$A:$BA,27,FALSE)</f>
        <v>0</v>
      </c>
      <c r="AB9" s="112">
        <f>VLOOKUP($A9,Alimentos!$A:$BA,28,FALSE)</f>
        <v>0</v>
      </c>
      <c r="AC9" s="112">
        <f>VLOOKUP($A9,Alimentos!$A:$BA,29,FALSE)</f>
        <v>0</v>
      </c>
      <c r="AD9" s="112">
        <f>VLOOKUP($A9,Alimentos!$A:$BA,30,FALSE)</f>
        <v>0</v>
      </c>
      <c r="AE9" s="112">
        <f>VLOOKUP($A9,Alimentos!$A:$BA,31,FALSE)</f>
        <v>0</v>
      </c>
      <c r="AF9" s="113">
        <f>VLOOKUP($A9,Alimentos!$A:$BA,32,FALSE)</f>
        <v>0</v>
      </c>
      <c r="AG9" s="113">
        <f>VLOOKUP($A9,Alimentos!$A:$BA,33,FALSE)</f>
        <v>0</v>
      </c>
      <c r="AH9" s="113">
        <f>VLOOKUP($A9,Alimentos!$A:$BA,34,FALSE)</f>
        <v>0</v>
      </c>
      <c r="AI9" s="113">
        <f>VLOOKUP($A9,Alimentos!$A:$BA,35,FALSE)</f>
        <v>0</v>
      </c>
      <c r="AJ9" s="113">
        <f>VLOOKUP($A9,Alimentos!$A:$BA,36,FALSE)</f>
        <v>0</v>
      </c>
      <c r="AK9" s="113">
        <f>VLOOKUP($A9,Alimentos!$A:$BA,37,FALSE)</f>
        <v>0</v>
      </c>
      <c r="AL9" s="113">
        <f>VLOOKUP($A9,Alimentos!$A:$BA,38,FALSE)</f>
        <v>0</v>
      </c>
      <c r="AM9" s="113">
        <f>VLOOKUP($A9,Alimentos!$A:$BA,39,FALSE)</f>
        <v>0</v>
      </c>
      <c r="AN9" s="113">
        <f>VLOOKUP($A9,Alimentos!$A:$BA,40,FALSE)</f>
        <v>0</v>
      </c>
      <c r="AO9" s="113">
        <f>VLOOKUP($A9,Alimentos!$A:$BA,41,FALSE)</f>
        <v>0</v>
      </c>
      <c r="AP9" s="113">
        <f>VLOOKUP($A9,Alimentos!$A:$BA,42,FALSE)</f>
        <v>0</v>
      </c>
      <c r="AQ9" s="113">
        <f>VLOOKUP($A9,Alimentos!$A:$BA,43,FALSE)</f>
        <v>0</v>
      </c>
      <c r="AR9" s="113">
        <f>VLOOKUP($A9,Alimentos!$A:$BA,44,FALSE)</f>
        <v>0</v>
      </c>
      <c r="AS9" s="113">
        <f>VLOOKUP($A9,Alimentos!$A:$BA,45,FALSE)</f>
        <v>0</v>
      </c>
    </row>
    <row r="10" spans="1:47" x14ac:dyDescent="0.25">
      <c r="A10" s="108" t="s">
        <v>60</v>
      </c>
      <c r="B10" s="109">
        <f>VLOOKUP($A10,Alimentos!$A:$BA,2,FALSE)</f>
        <v>0</v>
      </c>
      <c r="C10" s="114">
        <f>VLOOKUP($A10,Alimentos!$A:$BA,4,FALSE)</f>
        <v>0</v>
      </c>
      <c r="E10" s="111">
        <f>VLOOKUP($A10,Alimentos!$A:$BA,5,FALSE)</f>
        <v>0</v>
      </c>
      <c r="F10" s="111">
        <f>VLOOKUP($A10,Alimentos!$A:$BA,6,FALSE)</f>
        <v>0</v>
      </c>
      <c r="G10" s="111">
        <f>VLOOKUP($A10,Alimentos!$A:$BA,7,FALSE)</f>
        <v>0</v>
      </c>
      <c r="H10" s="111">
        <f>VLOOKUP($A10,Alimentos!$A:$BA,8,FALSE)</f>
        <v>0</v>
      </c>
      <c r="I10" s="111">
        <f>VLOOKUP($A10,Alimentos!$A:$BA,9,FALSE)</f>
        <v>0</v>
      </c>
      <c r="J10" s="111">
        <f>VLOOKUP($A10,Alimentos!$A:$BA,10,FALSE)</f>
        <v>0</v>
      </c>
      <c r="K10" s="111">
        <f>VLOOKUP($A10,Alimentos!$A:$BA,11,FALSE)</f>
        <v>0</v>
      </c>
      <c r="L10" s="111">
        <f>VLOOKUP($A10,Alimentos!$A:$BA,12,FALSE)</f>
        <v>0</v>
      </c>
      <c r="M10" s="111">
        <f>VLOOKUP($A10,Alimentos!$A:$BA,13,FALSE)</f>
        <v>0</v>
      </c>
      <c r="N10" s="111">
        <f>VLOOKUP($A10,Alimentos!$A:$BA,14,FALSE)</f>
        <v>0</v>
      </c>
      <c r="O10" s="90">
        <f>VLOOKUP($A10,Alimentos!$A:$BA,15,FALSE)</f>
        <v>0</v>
      </c>
      <c r="P10" s="111">
        <f>VLOOKUP($A10,Alimentos!$A:$BA,16,FALSE)</f>
        <v>0</v>
      </c>
      <c r="Q10" s="111">
        <f>VLOOKUP($A10,Alimentos!$A:$BA,17,FALSE)</f>
        <v>0</v>
      </c>
      <c r="R10" s="111">
        <f>VLOOKUP($A10,Alimentos!$A:$BA,18,FALSE)</f>
        <v>0</v>
      </c>
      <c r="S10" s="111">
        <f>VLOOKUP($A10,Alimentos!$A:$BA,19,FALSE)</f>
        <v>0</v>
      </c>
      <c r="T10" s="111">
        <f>VLOOKUP($A10,Alimentos!$A:$BA,20,FALSE)</f>
        <v>0</v>
      </c>
      <c r="U10" s="111">
        <f>VLOOKUP($A10,Alimentos!$A:$BA,21,FALSE)</f>
        <v>0</v>
      </c>
      <c r="V10" s="111">
        <f>VLOOKUP($A10,Alimentos!$A:$BA,22,FALSE)</f>
        <v>0</v>
      </c>
      <c r="W10" s="112">
        <f>VLOOKUP($A10,Alimentos!$A:$BA,23,FALSE)</f>
        <v>0</v>
      </c>
      <c r="X10" s="112">
        <f>VLOOKUP($A10,Alimentos!$A:$BA,24,FALSE)</f>
        <v>0</v>
      </c>
      <c r="Y10" s="112">
        <f>VLOOKUP($A10,Alimentos!$A:$BA,25,FALSE)</f>
        <v>0</v>
      </c>
      <c r="Z10" s="112">
        <f>VLOOKUP($A10,Alimentos!$A:$BA,26,FALSE)</f>
        <v>0</v>
      </c>
      <c r="AA10" s="112">
        <f>VLOOKUP($A10,Alimentos!$A:$BA,27,FALSE)</f>
        <v>0</v>
      </c>
      <c r="AB10" s="112">
        <f>VLOOKUP($A10,Alimentos!$A:$BA,28,FALSE)</f>
        <v>0</v>
      </c>
      <c r="AC10" s="112">
        <f>VLOOKUP($A10,Alimentos!$A:$BA,29,FALSE)</f>
        <v>0</v>
      </c>
      <c r="AD10" s="112">
        <f>VLOOKUP($A10,Alimentos!$A:$BA,30,FALSE)</f>
        <v>0</v>
      </c>
      <c r="AE10" s="112">
        <f>VLOOKUP($A10,Alimentos!$A:$BA,31,FALSE)</f>
        <v>0</v>
      </c>
      <c r="AF10" s="113">
        <f>VLOOKUP($A10,Alimentos!$A:$BA,32,FALSE)</f>
        <v>0</v>
      </c>
      <c r="AG10" s="113">
        <f>VLOOKUP($A10,Alimentos!$A:$BA,33,FALSE)</f>
        <v>0</v>
      </c>
      <c r="AH10" s="113">
        <f>VLOOKUP($A10,Alimentos!$A:$BA,34,FALSE)</f>
        <v>0</v>
      </c>
      <c r="AI10" s="113">
        <f>VLOOKUP($A10,Alimentos!$A:$BA,35,FALSE)</f>
        <v>0</v>
      </c>
      <c r="AJ10" s="113">
        <f>VLOOKUP($A10,Alimentos!$A:$BA,36,FALSE)</f>
        <v>0</v>
      </c>
      <c r="AK10" s="113">
        <f>VLOOKUP($A10,Alimentos!$A:$BA,37,FALSE)</f>
        <v>0</v>
      </c>
      <c r="AL10" s="113">
        <f>VLOOKUP($A10,Alimentos!$A:$BA,38,FALSE)</f>
        <v>0</v>
      </c>
      <c r="AM10" s="113">
        <f>VLOOKUP($A10,Alimentos!$A:$BA,39,FALSE)</f>
        <v>0</v>
      </c>
      <c r="AN10" s="113">
        <f>VLOOKUP($A10,Alimentos!$A:$BA,40,FALSE)</f>
        <v>0</v>
      </c>
      <c r="AO10" s="113">
        <f>VLOOKUP($A10,Alimentos!$A:$BA,41,FALSE)</f>
        <v>0</v>
      </c>
      <c r="AP10" s="113">
        <f>VLOOKUP($A10,Alimentos!$A:$BA,42,FALSE)</f>
        <v>0</v>
      </c>
      <c r="AQ10" s="113">
        <f>VLOOKUP($A10,Alimentos!$A:$BA,43,FALSE)</f>
        <v>0</v>
      </c>
      <c r="AR10" s="113">
        <f>VLOOKUP($A10,Alimentos!$A:$BA,44,FALSE)</f>
        <v>0</v>
      </c>
      <c r="AS10" s="113">
        <f>VLOOKUP($A10,Alimentos!$A:$BA,45,FALSE)</f>
        <v>0</v>
      </c>
    </row>
    <row r="11" spans="1:47" x14ac:dyDescent="0.25">
      <c r="A11" s="108" t="s">
        <v>60</v>
      </c>
      <c r="B11" s="109">
        <f>VLOOKUP($A11,Alimentos!$A:$BA,2,FALSE)</f>
        <v>0</v>
      </c>
      <c r="C11" s="114">
        <f>VLOOKUP($A11,Alimentos!$A:$BA,4,FALSE)</f>
        <v>0</v>
      </c>
      <c r="E11" s="111">
        <f>VLOOKUP($A11,Alimentos!$A:$BA,5,FALSE)</f>
        <v>0</v>
      </c>
      <c r="F11" s="111">
        <f>VLOOKUP($A11,Alimentos!$A:$BA,6,FALSE)</f>
        <v>0</v>
      </c>
      <c r="G11" s="111">
        <f>VLOOKUP($A11,Alimentos!$A:$BA,7,FALSE)</f>
        <v>0</v>
      </c>
      <c r="H11" s="111">
        <f>VLOOKUP($A11,Alimentos!$A:$BA,8,FALSE)</f>
        <v>0</v>
      </c>
      <c r="I11" s="111">
        <f>VLOOKUP($A11,Alimentos!$A:$BA,9,FALSE)</f>
        <v>0</v>
      </c>
      <c r="J11" s="111">
        <f>VLOOKUP($A11,Alimentos!$A:$BA,10,FALSE)</f>
        <v>0</v>
      </c>
      <c r="K11" s="111">
        <f>VLOOKUP($A11,Alimentos!$A:$BA,11,FALSE)</f>
        <v>0</v>
      </c>
      <c r="L11" s="111">
        <f>VLOOKUP($A11,Alimentos!$A:$BA,12,FALSE)</f>
        <v>0</v>
      </c>
      <c r="M11" s="111">
        <f>VLOOKUP($A11,Alimentos!$A:$BA,13,FALSE)</f>
        <v>0</v>
      </c>
      <c r="N11" s="111">
        <f>VLOOKUP($A11,Alimentos!$A:$BA,14,FALSE)</f>
        <v>0</v>
      </c>
      <c r="O11" s="90">
        <f>VLOOKUP($A11,Alimentos!$A:$BA,15,FALSE)</f>
        <v>0</v>
      </c>
      <c r="P11" s="111">
        <f>VLOOKUP($A11,Alimentos!$A:$BA,16,FALSE)</f>
        <v>0</v>
      </c>
      <c r="Q11" s="111">
        <f>VLOOKUP($A11,Alimentos!$A:$BA,17,FALSE)</f>
        <v>0</v>
      </c>
      <c r="R11" s="111">
        <f>VLOOKUP($A11,Alimentos!$A:$BA,18,FALSE)</f>
        <v>0</v>
      </c>
      <c r="S11" s="111">
        <f>VLOOKUP($A11,Alimentos!$A:$BA,19,FALSE)</f>
        <v>0</v>
      </c>
      <c r="T11" s="111">
        <f>VLOOKUP($A11,Alimentos!$A:$BA,20,FALSE)</f>
        <v>0</v>
      </c>
      <c r="U11" s="111">
        <f>VLOOKUP($A11,Alimentos!$A:$BA,21,FALSE)</f>
        <v>0</v>
      </c>
      <c r="V11" s="111">
        <f>VLOOKUP($A11,Alimentos!$A:$BA,22,FALSE)</f>
        <v>0</v>
      </c>
      <c r="W11" s="112">
        <f>VLOOKUP($A11,Alimentos!$A:$BA,23,FALSE)</f>
        <v>0</v>
      </c>
      <c r="X11" s="112">
        <f>VLOOKUP($A11,Alimentos!$A:$BA,24,FALSE)</f>
        <v>0</v>
      </c>
      <c r="Y11" s="112">
        <f>VLOOKUP($A11,Alimentos!$A:$BA,25,FALSE)</f>
        <v>0</v>
      </c>
      <c r="Z11" s="112">
        <f>VLOOKUP($A11,Alimentos!$A:$BA,26,FALSE)</f>
        <v>0</v>
      </c>
      <c r="AA11" s="112">
        <f>VLOOKUP($A11,Alimentos!$A:$BA,27,FALSE)</f>
        <v>0</v>
      </c>
      <c r="AB11" s="112">
        <f>VLOOKUP($A11,Alimentos!$A:$BA,28,FALSE)</f>
        <v>0</v>
      </c>
      <c r="AC11" s="112">
        <f>VLOOKUP($A11,Alimentos!$A:$BA,29,FALSE)</f>
        <v>0</v>
      </c>
      <c r="AD11" s="112">
        <f>VLOOKUP($A11,Alimentos!$A:$BA,30,FALSE)</f>
        <v>0</v>
      </c>
      <c r="AE11" s="112">
        <f>VLOOKUP($A11,Alimentos!$A:$BA,31,FALSE)</f>
        <v>0</v>
      </c>
      <c r="AF11" s="113">
        <f>VLOOKUP($A11,Alimentos!$A:$BA,32,FALSE)</f>
        <v>0</v>
      </c>
      <c r="AG11" s="113">
        <f>VLOOKUP($A11,Alimentos!$A:$BA,33,FALSE)</f>
        <v>0</v>
      </c>
      <c r="AH11" s="113">
        <f>VLOOKUP($A11,Alimentos!$A:$BA,34,FALSE)</f>
        <v>0</v>
      </c>
      <c r="AI11" s="113">
        <f>VLOOKUP($A11,Alimentos!$A:$BA,35,FALSE)</f>
        <v>0</v>
      </c>
      <c r="AJ11" s="113">
        <f>VLOOKUP($A11,Alimentos!$A:$BA,36,FALSE)</f>
        <v>0</v>
      </c>
      <c r="AK11" s="113">
        <f>VLOOKUP($A11,Alimentos!$A:$BA,37,FALSE)</f>
        <v>0</v>
      </c>
      <c r="AL11" s="113">
        <f>VLOOKUP($A11,Alimentos!$A:$BA,38,FALSE)</f>
        <v>0</v>
      </c>
      <c r="AM11" s="113">
        <f>VLOOKUP($A11,Alimentos!$A:$BA,39,FALSE)</f>
        <v>0</v>
      </c>
      <c r="AN11" s="113">
        <f>VLOOKUP($A11,Alimentos!$A:$BA,40,FALSE)</f>
        <v>0</v>
      </c>
      <c r="AO11" s="113">
        <f>VLOOKUP($A11,Alimentos!$A:$BA,41,FALSE)</f>
        <v>0</v>
      </c>
      <c r="AP11" s="113">
        <f>VLOOKUP($A11,Alimentos!$A:$BA,42,FALSE)</f>
        <v>0</v>
      </c>
      <c r="AQ11" s="113">
        <f>VLOOKUP($A11,Alimentos!$A:$BA,43,FALSE)</f>
        <v>0</v>
      </c>
      <c r="AR11" s="113">
        <f>VLOOKUP($A11,Alimentos!$A:$BA,44,FALSE)</f>
        <v>0</v>
      </c>
      <c r="AS11" s="113">
        <f>VLOOKUP($A11,Alimentos!$A:$BA,45,FALSE)</f>
        <v>0</v>
      </c>
    </row>
    <row r="12" spans="1:47" x14ac:dyDescent="0.25">
      <c r="A12" s="108" t="s">
        <v>60</v>
      </c>
      <c r="B12" s="109">
        <f>VLOOKUP($A12,Alimentos!$A:$BA,2,FALSE)</f>
        <v>0</v>
      </c>
      <c r="C12" s="114">
        <f>VLOOKUP($A12,Alimentos!$A:$BA,4,FALSE)</f>
        <v>0</v>
      </c>
      <c r="E12" s="111">
        <f>VLOOKUP($A12,Alimentos!$A:$BA,5,FALSE)</f>
        <v>0</v>
      </c>
      <c r="F12" s="111">
        <f>VLOOKUP($A12,Alimentos!$A:$BA,6,FALSE)</f>
        <v>0</v>
      </c>
      <c r="G12" s="111">
        <f>VLOOKUP($A12,Alimentos!$A:$BA,7,FALSE)</f>
        <v>0</v>
      </c>
      <c r="H12" s="111">
        <f>VLOOKUP($A12,Alimentos!$A:$BA,8,FALSE)</f>
        <v>0</v>
      </c>
      <c r="I12" s="111">
        <f>VLOOKUP($A12,Alimentos!$A:$BA,9,FALSE)</f>
        <v>0</v>
      </c>
      <c r="J12" s="111">
        <f>VLOOKUP($A12,Alimentos!$A:$BA,10,FALSE)</f>
        <v>0</v>
      </c>
      <c r="K12" s="111">
        <f>VLOOKUP($A12,Alimentos!$A:$BA,11,FALSE)</f>
        <v>0</v>
      </c>
      <c r="L12" s="111">
        <f>VLOOKUP($A12,Alimentos!$A:$BA,12,FALSE)</f>
        <v>0</v>
      </c>
      <c r="M12" s="111">
        <f>VLOOKUP($A12,Alimentos!$A:$BA,13,FALSE)</f>
        <v>0</v>
      </c>
      <c r="N12" s="111">
        <f>VLOOKUP($A12,Alimentos!$A:$BA,14,FALSE)</f>
        <v>0</v>
      </c>
      <c r="O12" s="90">
        <f>VLOOKUP($A12,Alimentos!$A:$BA,15,FALSE)</f>
        <v>0</v>
      </c>
      <c r="P12" s="111">
        <f>VLOOKUP($A12,Alimentos!$A:$BA,16,FALSE)</f>
        <v>0</v>
      </c>
      <c r="Q12" s="111">
        <f>VLOOKUP($A12,Alimentos!$A:$BA,17,FALSE)</f>
        <v>0</v>
      </c>
      <c r="R12" s="111">
        <f>VLOOKUP($A12,Alimentos!$A:$BA,18,FALSE)</f>
        <v>0</v>
      </c>
      <c r="S12" s="111">
        <f>VLOOKUP($A12,Alimentos!$A:$BA,19,FALSE)</f>
        <v>0</v>
      </c>
      <c r="T12" s="111">
        <f>VLOOKUP($A12,Alimentos!$A:$BA,20,FALSE)</f>
        <v>0</v>
      </c>
      <c r="U12" s="111">
        <f>VLOOKUP($A12,Alimentos!$A:$BA,21,FALSE)</f>
        <v>0</v>
      </c>
      <c r="V12" s="111">
        <f>VLOOKUP($A12,Alimentos!$A:$BA,22,FALSE)</f>
        <v>0</v>
      </c>
      <c r="W12" s="112">
        <f>VLOOKUP($A12,Alimentos!$A:$BA,23,FALSE)</f>
        <v>0</v>
      </c>
      <c r="X12" s="112">
        <f>VLOOKUP($A12,Alimentos!$A:$BA,24,FALSE)</f>
        <v>0</v>
      </c>
      <c r="Y12" s="112">
        <f>VLOOKUP($A12,Alimentos!$A:$BA,25,FALSE)</f>
        <v>0</v>
      </c>
      <c r="Z12" s="112">
        <f>VLOOKUP($A12,Alimentos!$A:$BA,26,FALSE)</f>
        <v>0</v>
      </c>
      <c r="AA12" s="112">
        <f>VLOOKUP($A12,Alimentos!$A:$BA,27,FALSE)</f>
        <v>0</v>
      </c>
      <c r="AB12" s="112">
        <f>VLOOKUP($A12,Alimentos!$A:$BA,28,FALSE)</f>
        <v>0</v>
      </c>
      <c r="AC12" s="112">
        <f>VLOOKUP($A12,Alimentos!$A:$BA,29,FALSE)</f>
        <v>0</v>
      </c>
      <c r="AD12" s="112">
        <f>VLOOKUP($A12,Alimentos!$A:$BA,30,FALSE)</f>
        <v>0</v>
      </c>
      <c r="AE12" s="112">
        <f>VLOOKUP($A12,Alimentos!$A:$BA,31,FALSE)</f>
        <v>0</v>
      </c>
      <c r="AF12" s="113">
        <f>VLOOKUP($A12,Alimentos!$A:$BA,32,FALSE)</f>
        <v>0</v>
      </c>
      <c r="AG12" s="113">
        <f>VLOOKUP($A12,Alimentos!$A:$BA,33,FALSE)</f>
        <v>0</v>
      </c>
      <c r="AH12" s="113">
        <f>VLOOKUP($A12,Alimentos!$A:$BA,34,FALSE)</f>
        <v>0</v>
      </c>
      <c r="AI12" s="113">
        <f>VLOOKUP($A12,Alimentos!$A:$BA,35,FALSE)</f>
        <v>0</v>
      </c>
      <c r="AJ12" s="113">
        <f>VLOOKUP($A12,Alimentos!$A:$BA,36,FALSE)</f>
        <v>0</v>
      </c>
      <c r="AK12" s="113">
        <f>VLOOKUP($A12,Alimentos!$A:$BA,37,FALSE)</f>
        <v>0</v>
      </c>
      <c r="AL12" s="113">
        <f>VLOOKUP($A12,Alimentos!$A:$BA,38,FALSE)</f>
        <v>0</v>
      </c>
      <c r="AM12" s="113">
        <f>VLOOKUP($A12,Alimentos!$A:$BA,39,FALSE)</f>
        <v>0</v>
      </c>
      <c r="AN12" s="113">
        <f>VLOOKUP($A12,Alimentos!$A:$BA,40,FALSE)</f>
        <v>0</v>
      </c>
      <c r="AO12" s="113">
        <f>VLOOKUP($A12,Alimentos!$A:$BA,41,FALSE)</f>
        <v>0</v>
      </c>
      <c r="AP12" s="113">
        <f>VLOOKUP($A12,Alimentos!$A:$BA,42,FALSE)</f>
        <v>0</v>
      </c>
      <c r="AQ12" s="113">
        <f>VLOOKUP($A12,Alimentos!$A:$BA,43,FALSE)</f>
        <v>0</v>
      </c>
      <c r="AR12" s="113">
        <f>VLOOKUP($A12,Alimentos!$A:$BA,44,FALSE)</f>
        <v>0</v>
      </c>
      <c r="AS12" s="113">
        <f>VLOOKUP($A12,Alimentos!$A:$BA,45,FALSE)</f>
        <v>0</v>
      </c>
    </row>
    <row r="13" spans="1:47" x14ac:dyDescent="0.25">
      <c r="A13" s="108" t="s">
        <v>60</v>
      </c>
      <c r="B13" s="109">
        <f>VLOOKUP($A13,Alimentos!$A:$BA,2,FALSE)</f>
        <v>0</v>
      </c>
      <c r="C13" s="114">
        <f>VLOOKUP($A13,Alimentos!$A:$BA,4,FALSE)</f>
        <v>0</v>
      </c>
      <c r="E13" s="111">
        <f>VLOOKUP($A13,Alimentos!$A:$BA,5,FALSE)</f>
        <v>0</v>
      </c>
      <c r="F13" s="111">
        <f>VLOOKUP($A13,Alimentos!$A:$BA,6,FALSE)</f>
        <v>0</v>
      </c>
      <c r="G13" s="111">
        <f>VLOOKUP($A13,Alimentos!$A:$BA,7,FALSE)</f>
        <v>0</v>
      </c>
      <c r="H13" s="111">
        <f>VLOOKUP($A13,Alimentos!$A:$BA,8,FALSE)</f>
        <v>0</v>
      </c>
      <c r="I13" s="111">
        <f>VLOOKUP($A13,Alimentos!$A:$BA,9,FALSE)</f>
        <v>0</v>
      </c>
      <c r="J13" s="111">
        <f>VLOOKUP($A13,Alimentos!$A:$BA,10,FALSE)</f>
        <v>0</v>
      </c>
      <c r="K13" s="111">
        <f>VLOOKUP($A13,Alimentos!$A:$BA,11,FALSE)</f>
        <v>0</v>
      </c>
      <c r="L13" s="111">
        <f>VLOOKUP($A13,Alimentos!$A:$BA,12,FALSE)</f>
        <v>0</v>
      </c>
      <c r="M13" s="111">
        <f>VLOOKUP($A13,Alimentos!$A:$BA,13,FALSE)</f>
        <v>0</v>
      </c>
      <c r="N13" s="111">
        <f>VLOOKUP($A13,Alimentos!$A:$BA,14,FALSE)</f>
        <v>0</v>
      </c>
      <c r="O13" s="90">
        <f>VLOOKUP($A13,Alimentos!$A:$BA,15,FALSE)</f>
        <v>0</v>
      </c>
      <c r="P13" s="111">
        <f>VLOOKUP($A13,Alimentos!$A:$BA,16,FALSE)</f>
        <v>0</v>
      </c>
      <c r="Q13" s="111">
        <f>VLOOKUP($A13,Alimentos!$A:$BA,17,FALSE)</f>
        <v>0</v>
      </c>
      <c r="R13" s="111">
        <f>VLOOKUP($A13,Alimentos!$A:$BA,18,FALSE)</f>
        <v>0</v>
      </c>
      <c r="S13" s="111">
        <f>VLOOKUP($A13,Alimentos!$A:$BA,19,FALSE)</f>
        <v>0</v>
      </c>
      <c r="T13" s="111">
        <f>VLOOKUP($A13,Alimentos!$A:$BA,20,FALSE)</f>
        <v>0</v>
      </c>
      <c r="U13" s="111">
        <f>VLOOKUP($A13,Alimentos!$A:$BA,21,FALSE)</f>
        <v>0</v>
      </c>
      <c r="V13" s="111">
        <f>VLOOKUP($A13,Alimentos!$A:$BA,22,FALSE)</f>
        <v>0</v>
      </c>
      <c r="W13" s="112">
        <f>VLOOKUP($A13,Alimentos!$A:$BA,23,FALSE)</f>
        <v>0</v>
      </c>
      <c r="X13" s="112">
        <f>VLOOKUP($A13,Alimentos!$A:$BA,24,FALSE)</f>
        <v>0</v>
      </c>
      <c r="Y13" s="112">
        <f>VLOOKUP($A13,Alimentos!$A:$BA,25,FALSE)</f>
        <v>0</v>
      </c>
      <c r="Z13" s="112">
        <f>VLOOKUP($A13,Alimentos!$A:$BA,26,FALSE)</f>
        <v>0</v>
      </c>
      <c r="AA13" s="112">
        <f>VLOOKUP($A13,Alimentos!$A:$BA,27,FALSE)</f>
        <v>0</v>
      </c>
      <c r="AB13" s="112">
        <f>VLOOKUP($A13,Alimentos!$A:$BA,28,FALSE)</f>
        <v>0</v>
      </c>
      <c r="AC13" s="112">
        <f>VLOOKUP($A13,Alimentos!$A:$BA,29,FALSE)</f>
        <v>0</v>
      </c>
      <c r="AD13" s="112">
        <f>VLOOKUP($A13,Alimentos!$A:$BA,30,FALSE)</f>
        <v>0</v>
      </c>
      <c r="AE13" s="112">
        <f>VLOOKUP($A13,Alimentos!$A:$BA,31,FALSE)</f>
        <v>0</v>
      </c>
      <c r="AF13" s="113">
        <f>VLOOKUP($A13,Alimentos!$A:$BA,32,FALSE)</f>
        <v>0</v>
      </c>
      <c r="AG13" s="113">
        <f>VLOOKUP($A13,Alimentos!$A:$BA,33,FALSE)</f>
        <v>0</v>
      </c>
      <c r="AH13" s="113">
        <f>VLOOKUP($A13,Alimentos!$A:$BA,34,FALSE)</f>
        <v>0</v>
      </c>
      <c r="AI13" s="113">
        <f>VLOOKUP($A13,Alimentos!$A:$BA,35,FALSE)</f>
        <v>0</v>
      </c>
      <c r="AJ13" s="113">
        <f>VLOOKUP($A13,Alimentos!$A:$BA,36,FALSE)</f>
        <v>0</v>
      </c>
      <c r="AK13" s="113">
        <f>VLOOKUP($A13,Alimentos!$A:$BA,37,FALSE)</f>
        <v>0</v>
      </c>
      <c r="AL13" s="113">
        <f>VLOOKUP($A13,Alimentos!$A:$BA,38,FALSE)</f>
        <v>0</v>
      </c>
      <c r="AM13" s="115">
        <f>VLOOKUP($A13,Alimentos!$A:$BA,39,FALSE)</f>
        <v>0</v>
      </c>
      <c r="AN13" s="115">
        <f>VLOOKUP($A13,Alimentos!$A:$BA,40,FALSE)</f>
        <v>0</v>
      </c>
      <c r="AO13" s="115">
        <f>VLOOKUP($A13,Alimentos!$A:$BA,41,FALSE)</f>
        <v>0</v>
      </c>
      <c r="AP13" s="113">
        <f>VLOOKUP($A13,Alimentos!$A:$BA,42,FALSE)</f>
        <v>0</v>
      </c>
      <c r="AQ13" s="113">
        <f>VLOOKUP($A13,Alimentos!$A:$BA,43,FALSE)</f>
        <v>0</v>
      </c>
      <c r="AR13" s="113">
        <f>VLOOKUP($A13,Alimentos!$A:$BA,44,FALSE)</f>
        <v>0</v>
      </c>
      <c r="AS13" s="113">
        <f>VLOOKUP($A13,Alimentos!$A:$BA,45,FALSE)</f>
        <v>0</v>
      </c>
    </row>
    <row r="14" spans="1:47" x14ac:dyDescent="0.25">
      <c r="A14" s="108" t="s">
        <v>60</v>
      </c>
      <c r="B14" s="109">
        <f>VLOOKUP($A14,Alimentos!$A:$BA,2,FALSE)</f>
        <v>0</v>
      </c>
      <c r="C14" s="114">
        <f>VLOOKUP($A14,Alimentos!$A:$BA,4,FALSE)</f>
        <v>0</v>
      </c>
      <c r="E14" s="111">
        <f>VLOOKUP($A14,Alimentos!$A:$BA,5,FALSE)</f>
        <v>0</v>
      </c>
      <c r="F14" s="111">
        <f>VLOOKUP($A14,Alimentos!$A:$BA,6,FALSE)</f>
        <v>0</v>
      </c>
      <c r="G14" s="111">
        <f>VLOOKUP($A14,Alimentos!$A:$BA,7,FALSE)</f>
        <v>0</v>
      </c>
      <c r="H14" s="111">
        <f>VLOOKUP($A14,Alimentos!$A:$BA,8,FALSE)</f>
        <v>0</v>
      </c>
      <c r="I14" s="111">
        <f>VLOOKUP($A14,Alimentos!$A:$BA,9,FALSE)</f>
        <v>0</v>
      </c>
      <c r="J14" s="111">
        <f>VLOOKUP($A14,Alimentos!$A:$BA,10,FALSE)</f>
        <v>0</v>
      </c>
      <c r="K14" s="111">
        <f>VLOOKUP($A14,Alimentos!$A:$BA,11,FALSE)</f>
        <v>0</v>
      </c>
      <c r="L14" s="111">
        <f>VLOOKUP($A14,Alimentos!$A:$BA,12,FALSE)</f>
        <v>0</v>
      </c>
      <c r="M14" s="111">
        <f>VLOOKUP($A14,Alimentos!$A:$BA,13,FALSE)</f>
        <v>0</v>
      </c>
      <c r="N14" s="111">
        <f>VLOOKUP($A14,Alimentos!$A:$BA,14,FALSE)</f>
        <v>0</v>
      </c>
      <c r="O14" s="90">
        <f>VLOOKUP($A14,Alimentos!$A:$BA,15,FALSE)</f>
        <v>0</v>
      </c>
      <c r="P14" s="111">
        <f>VLOOKUP($A14,Alimentos!$A:$BA,16,FALSE)</f>
        <v>0</v>
      </c>
      <c r="Q14" s="111">
        <f>VLOOKUP($A14,Alimentos!$A:$BA,17,FALSE)</f>
        <v>0</v>
      </c>
      <c r="R14" s="111">
        <f>VLOOKUP($A14,Alimentos!$A:$BA,18,FALSE)</f>
        <v>0</v>
      </c>
      <c r="S14" s="111">
        <f>VLOOKUP($A14,Alimentos!$A:$BA,19,FALSE)</f>
        <v>0</v>
      </c>
      <c r="T14" s="111">
        <f>VLOOKUP($A14,Alimentos!$A:$BA,20,FALSE)</f>
        <v>0</v>
      </c>
      <c r="U14" s="111">
        <f>VLOOKUP($A14,Alimentos!$A:$BA,21,FALSE)</f>
        <v>0</v>
      </c>
      <c r="V14" s="111">
        <f>VLOOKUP($A14,Alimentos!$A:$BA,22,FALSE)</f>
        <v>0</v>
      </c>
      <c r="W14" s="112">
        <f>VLOOKUP($A14,Alimentos!$A:$BA,23,FALSE)</f>
        <v>0</v>
      </c>
      <c r="X14" s="112">
        <f>VLOOKUP($A14,Alimentos!$A:$BA,24,FALSE)</f>
        <v>0</v>
      </c>
      <c r="Y14" s="112">
        <f>VLOOKUP($A14,Alimentos!$A:$BA,25,FALSE)</f>
        <v>0</v>
      </c>
      <c r="Z14" s="112">
        <f>VLOOKUP($A14,Alimentos!$A:$BA,26,FALSE)</f>
        <v>0</v>
      </c>
      <c r="AA14" s="112">
        <f>VLOOKUP($A14,Alimentos!$A:$BA,27,FALSE)</f>
        <v>0</v>
      </c>
      <c r="AB14" s="112">
        <f>VLOOKUP($A14,Alimentos!$A:$BA,28,FALSE)</f>
        <v>0</v>
      </c>
      <c r="AC14" s="112">
        <f>VLOOKUP($A14,Alimentos!$A:$BA,29,FALSE)</f>
        <v>0</v>
      </c>
      <c r="AD14" s="112">
        <f>VLOOKUP($A14,Alimentos!$A:$BA,30,FALSE)</f>
        <v>0</v>
      </c>
      <c r="AE14" s="112">
        <f>VLOOKUP($A14,Alimentos!$A:$BA,31,FALSE)</f>
        <v>0</v>
      </c>
      <c r="AF14" s="113">
        <f>VLOOKUP($A14,Alimentos!$A:$BA,32,FALSE)</f>
        <v>0</v>
      </c>
      <c r="AG14" s="113">
        <f>VLOOKUP($A14,Alimentos!$A:$BA,33,FALSE)</f>
        <v>0</v>
      </c>
      <c r="AH14" s="113">
        <f>VLOOKUP($A14,Alimentos!$A:$BA,34,FALSE)</f>
        <v>0</v>
      </c>
      <c r="AI14" s="113">
        <f>VLOOKUP($A14,Alimentos!$A:$BA,35,FALSE)</f>
        <v>0</v>
      </c>
      <c r="AJ14" s="113">
        <f>VLOOKUP($A14,Alimentos!$A:$BA,36,FALSE)</f>
        <v>0</v>
      </c>
      <c r="AK14" s="113">
        <f>VLOOKUP($A14,Alimentos!$A:$BA,37,FALSE)</f>
        <v>0</v>
      </c>
      <c r="AL14" s="113">
        <f>VLOOKUP($A14,Alimentos!$A:$BA,38,FALSE)</f>
        <v>0</v>
      </c>
      <c r="AM14" s="113">
        <f>VLOOKUP($A14,Alimentos!$A:$BA,39,FALSE)</f>
        <v>0</v>
      </c>
      <c r="AN14" s="113">
        <f>VLOOKUP($A14,Alimentos!$A:$BA,40,FALSE)</f>
        <v>0</v>
      </c>
      <c r="AO14" s="113">
        <f>VLOOKUP($A14,Alimentos!$A:$BA,41,FALSE)</f>
        <v>0</v>
      </c>
      <c r="AP14" s="113">
        <f>VLOOKUP($A14,Alimentos!$A:$BA,42,FALSE)</f>
        <v>0</v>
      </c>
      <c r="AQ14" s="113">
        <f>VLOOKUP($A14,Alimentos!$A:$BA,43,FALSE)</f>
        <v>0</v>
      </c>
      <c r="AR14" s="113">
        <f>VLOOKUP($A14,Alimentos!$A:$BA,44,FALSE)</f>
        <v>0</v>
      </c>
      <c r="AS14" s="113">
        <f>VLOOKUP($A14,Alimentos!$A:$BA,45,FALSE)</f>
        <v>0</v>
      </c>
    </row>
    <row r="15" spans="1:47" x14ac:dyDescent="0.25">
      <c r="A15" s="108" t="s">
        <v>60</v>
      </c>
      <c r="B15" s="109">
        <f>VLOOKUP($A15,Alimentos!$A:$BA,2,FALSE)</f>
        <v>0</v>
      </c>
      <c r="C15" s="114">
        <f>VLOOKUP($A15,Alimentos!$A:$BA,4,FALSE)</f>
        <v>0</v>
      </c>
      <c r="E15" s="111">
        <f>VLOOKUP($A15,Alimentos!$A:$BA,5,FALSE)</f>
        <v>0</v>
      </c>
      <c r="F15" s="111">
        <f>VLOOKUP($A15,Alimentos!$A:$BA,6,FALSE)</f>
        <v>0</v>
      </c>
      <c r="G15" s="111">
        <f>VLOOKUP($A15,Alimentos!$A:$BA,7,FALSE)</f>
        <v>0</v>
      </c>
      <c r="H15" s="111">
        <f>VLOOKUP($A15,Alimentos!$A:$BA,8,FALSE)</f>
        <v>0</v>
      </c>
      <c r="I15" s="111">
        <f>VLOOKUP($A15,Alimentos!$A:$BA,9,FALSE)</f>
        <v>0</v>
      </c>
      <c r="J15" s="111">
        <f>VLOOKUP($A15,Alimentos!$A:$BA,10,FALSE)</f>
        <v>0</v>
      </c>
      <c r="K15" s="111">
        <f>VLOOKUP($A15,Alimentos!$A:$BA,11,FALSE)</f>
        <v>0</v>
      </c>
      <c r="L15" s="111">
        <f>VLOOKUP($A15,Alimentos!$A:$BA,12,FALSE)</f>
        <v>0</v>
      </c>
      <c r="M15" s="111">
        <f>VLOOKUP($A15,Alimentos!$A:$BA,13,FALSE)</f>
        <v>0</v>
      </c>
      <c r="N15" s="111">
        <f>VLOOKUP($A15,Alimentos!$A:$BA,14,FALSE)</f>
        <v>0</v>
      </c>
      <c r="O15" s="90">
        <f>VLOOKUP($A15,Alimentos!$A:$BA,15,FALSE)</f>
        <v>0</v>
      </c>
      <c r="P15" s="111">
        <f>VLOOKUP($A15,Alimentos!$A:$BA,16,FALSE)</f>
        <v>0</v>
      </c>
      <c r="Q15" s="111">
        <f>VLOOKUP($A15,Alimentos!$A:$BA,17,FALSE)</f>
        <v>0</v>
      </c>
      <c r="R15" s="111">
        <f>VLOOKUP($A15,Alimentos!$A:$BA,18,FALSE)</f>
        <v>0</v>
      </c>
      <c r="S15" s="111">
        <f>VLOOKUP($A15,Alimentos!$A:$BA,19,FALSE)</f>
        <v>0</v>
      </c>
      <c r="T15" s="111">
        <f>VLOOKUP($A15,Alimentos!$A:$BA,20,FALSE)</f>
        <v>0</v>
      </c>
      <c r="U15" s="111">
        <f>VLOOKUP($A15,Alimentos!$A:$BA,21,FALSE)</f>
        <v>0</v>
      </c>
      <c r="V15" s="111">
        <f>VLOOKUP($A15,Alimentos!$A:$BA,22,FALSE)</f>
        <v>0</v>
      </c>
      <c r="W15" s="112">
        <f>VLOOKUP($A15,Alimentos!$A:$BA,23,FALSE)</f>
        <v>0</v>
      </c>
      <c r="X15" s="112">
        <f>VLOOKUP($A15,Alimentos!$A:$BA,24,FALSE)</f>
        <v>0</v>
      </c>
      <c r="Y15" s="112">
        <f>VLOOKUP($A15,Alimentos!$A:$BA,25,FALSE)</f>
        <v>0</v>
      </c>
      <c r="Z15" s="112">
        <f>VLOOKUP($A15,Alimentos!$A:$BA,26,FALSE)</f>
        <v>0</v>
      </c>
      <c r="AA15" s="112">
        <f>VLOOKUP($A15,Alimentos!$A:$BA,27,FALSE)</f>
        <v>0</v>
      </c>
      <c r="AB15" s="112">
        <f>VLOOKUP($A15,Alimentos!$A:$BA,28,FALSE)</f>
        <v>0</v>
      </c>
      <c r="AC15" s="112">
        <f>VLOOKUP($A15,Alimentos!$A:$BA,29,FALSE)</f>
        <v>0</v>
      </c>
      <c r="AD15" s="112">
        <f>VLOOKUP($A15,Alimentos!$A:$BA,30,FALSE)</f>
        <v>0</v>
      </c>
      <c r="AE15" s="112">
        <f>VLOOKUP($A15,Alimentos!$A:$BA,31,FALSE)</f>
        <v>0</v>
      </c>
      <c r="AF15" s="113">
        <f>VLOOKUP($A15,Alimentos!$A:$BA,32,FALSE)</f>
        <v>0</v>
      </c>
      <c r="AG15" s="113">
        <f>VLOOKUP($A15,Alimentos!$A:$BA,33,FALSE)</f>
        <v>0</v>
      </c>
      <c r="AH15" s="113">
        <f>VLOOKUP($A15,Alimentos!$A:$BA,34,FALSE)</f>
        <v>0</v>
      </c>
      <c r="AI15" s="113">
        <f>VLOOKUP($A15,Alimentos!$A:$BA,35,FALSE)</f>
        <v>0</v>
      </c>
      <c r="AJ15" s="113">
        <f>VLOOKUP($A15,Alimentos!$A:$BA,36,FALSE)</f>
        <v>0</v>
      </c>
      <c r="AK15" s="113">
        <f>VLOOKUP($A15,Alimentos!$A:$BA,37,FALSE)</f>
        <v>0</v>
      </c>
      <c r="AL15" s="113">
        <f>VLOOKUP($A15,Alimentos!$A:$BA,38,FALSE)</f>
        <v>0</v>
      </c>
      <c r="AM15" s="113">
        <f>VLOOKUP($A15,Alimentos!$A:$BA,39,FALSE)</f>
        <v>0</v>
      </c>
      <c r="AN15" s="113">
        <f>VLOOKUP($A15,Alimentos!$A:$BA,40,FALSE)</f>
        <v>0</v>
      </c>
      <c r="AO15" s="113">
        <f>VLOOKUP($A15,Alimentos!$A:$BA,41,FALSE)</f>
        <v>0</v>
      </c>
      <c r="AP15" s="113">
        <f>VLOOKUP($A15,Alimentos!$A:$BA,42,FALSE)</f>
        <v>0</v>
      </c>
      <c r="AQ15" s="113">
        <f>VLOOKUP($A15,Alimentos!$A:$BA,43,FALSE)</f>
        <v>0</v>
      </c>
      <c r="AR15" s="113">
        <f>VLOOKUP($A15,Alimentos!$A:$BA,44,FALSE)</f>
        <v>0</v>
      </c>
      <c r="AS15" s="113">
        <f>VLOOKUP($A15,Alimentos!$A:$BA,45,FALSE)</f>
        <v>0</v>
      </c>
    </row>
    <row r="16" spans="1:47" x14ac:dyDescent="0.25">
      <c r="A16" s="108" t="s">
        <v>60</v>
      </c>
      <c r="B16" s="109">
        <f>VLOOKUP($A16,Alimentos!$A:$BA,2,FALSE)</f>
        <v>0</v>
      </c>
      <c r="C16" s="114">
        <f>VLOOKUP($A16,Alimentos!$A:$BA,4,FALSE)</f>
        <v>0</v>
      </c>
      <c r="E16" s="111">
        <f>VLOOKUP($A16,Alimentos!$A:$BA,5,FALSE)</f>
        <v>0</v>
      </c>
      <c r="F16" s="111">
        <f>VLOOKUP($A16,Alimentos!$A:$BA,6,FALSE)</f>
        <v>0</v>
      </c>
      <c r="G16" s="111">
        <f>VLOOKUP($A16,Alimentos!$A:$BA,7,FALSE)</f>
        <v>0</v>
      </c>
      <c r="H16" s="111">
        <f>VLOOKUP($A16,Alimentos!$A:$BA,8,FALSE)</f>
        <v>0</v>
      </c>
      <c r="I16" s="111">
        <f>VLOOKUP($A16,Alimentos!$A:$BA,9,FALSE)</f>
        <v>0</v>
      </c>
      <c r="J16" s="111">
        <f>VLOOKUP($A16,Alimentos!$A:$BA,10,FALSE)</f>
        <v>0</v>
      </c>
      <c r="K16" s="111">
        <f>VLOOKUP($A16,Alimentos!$A:$BA,11,FALSE)</f>
        <v>0</v>
      </c>
      <c r="L16" s="111">
        <f>VLOOKUP($A16,Alimentos!$A:$BA,12,FALSE)</f>
        <v>0</v>
      </c>
      <c r="M16" s="111">
        <f>VLOOKUP($A16,Alimentos!$A:$BA,13,FALSE)</f>
        <v>0</v>
      </c>
      <c r="N16" s="111">
        <f>VLOOKUP($A16,Alimentos!$A:$BA,14,FALSE)</f>
        <v>0</v>
      </c>
      <c r="O16" s="90">
        <f>VLOOKUP($A16,Alimentos!$A:$BA,15,FALSE)</f>
        <v>0</v>
      </c>
      <c r="P16" s="111">
        <f>VLOOKUP($A16,Alimentos!$A:$BA,16,FALSE)</f>
        <v>0</v>
      </c>
      <c r="Q16" s="111">
        <f>VLOOKUP($A16,Alimentos!$A:$BA,17,FALSE)</f>
        <v>0</v>
      </c>
      <c r="R16" s="111">
        <f>VLOOKUP($A16,Alimentos!$A:$BA,18,FALSE)</f>
        <v>0</v>
      </c>
      <c r="S16" s="111">
        <f>VLOOKUP($A16,Alimentos!$A:$BA,19,FALSE)</f>
        <v>0</v>
      </c>
      <c r="T16" s="111">
        <f>VLOOKUP($A16,Alimentos!$A:$BA,20,FALSE)</f>
        <v>0</v>
      </c>
      <c r="U16" s="111">
        <f>VLOOKUP($A16,Alimentos!$A:$BA,21,FALSE)</f>
        <v>0</v>
      </c>
      <c r="V16" s="111">
        <f>VLOOKUP($A16,Alimentos!$A:$BA,22,FALSE)</f>
        <v>0</v>
      </c>
      <c r="W16" s="112">
        <f>VLOOKUP($A16,Alimentos!$A:$BA,23,FALSE)</f>
        <v>0</v>
      </c>
      <c r="X16" s="112">
        <f>VLOOKUP($A16,Alimentos!$A:$BA,24,FALSE)</f>
        <v>0</v>
      </c>
      <c r="Y16" s="112">
        <f>VLOOKUP($A16,Alimentos!$A:$BA,25,FALSE)</f>
        <v>0</v>
      </c>
      <c r="Z16" s="112">
        <f>VLOOKUP($A16,Alimentos!$A:$BA,26,FALSE)</f>
        <v>0</v>
      </c>
      <c r="AA16" s="112">
        <f>VLOOKUP($A16,Alimentos!$A:$BA,27,FALSE)</f>
        <v>0</v>
      </c>
      <c r="AB16" s="112">
        <f>VLOOKUP($A16,Alimentos!$A:$BA,28,FALSE)</f>
        <v>0</v>
      </c>
      <c r="AC16" s="112">
        <f>VLOOKUP($A16,Alimentos!$A:$BA,29,FALSE)</f>
        <v>0</v>
      </c>
      <c r="AD16" s="112">
        <f>VLOOKUP($A16,Alimentos!$A:$BA,30,FALSE)</f>
        <v>0</v>
      </c>
      <c r="AE16" s="112">
        <f>VLOOKUP($A16,Alimentos!$A:$BA,31,FALSE)</f>
        <v>0</v>
      </c>
      <c r="AF16" s="113">
        <f>VLOOKUP($A16,Alimentos!$A:$BA,32,FALSE)</f>
        <v>0</v>
      </c>
      <c r="AG16" s="113">
        <f>VLOOKUP($A16,Alimentos!$A:$BA,33,FALSE)</f>
        <v>0</v>
      </c>
      <c r="AH16" s="113">
        <f>VLOOKUP($A16,Alimentos!$A:$BA,34,FALSE)</f>
        <v>0</v>
      </c>
      <c r="AI16" s="113">
        <f>VLOOKUP($A16,Alimentos!$A:$BA,35,FALSE)</f>
        <v>0</v>
      </c>
      <c r="AJ16" s="113">
        <f>VLOOKUP($A16,Alimentos!$A:$BA,36,FALSE)</f>
        <v>0</v>
      </c>
      <c r="AK16" s="113">
        <f>VLOOKUP($A16,Alimentos!$A:$BA,37,FALSE)</f>
        <v>0</v>
      </c>
      <c r="AL16" s="113">
        <f>VLOOKUP($A16,Alimentos!$A:$BA,38,FALSE)</f>
        <v>0</v>
      </c>
      <c r="AM16" s="113">
        <f>VLOOKUP($A16,Alimentos!$A:$BA,39,FALSE)</f>
        <v>0</v>
      </c>
      <c r="AN16" s="113">
        <f>VLOOKUP($A16,Alimentos!$A:$BA,40,FALSE)</f>
        <v>0</v>
      </c>
      <c r="AO16" s="113">
        <f>VLOOKUP($A16,Alimentos!$A:$BA,41,FALSE)</f>
        <v>0</v>
      </c>
      <c r="AP16" s="113">
        <f>VLOOKUP($A16,Alimentos!$A:$BA,42,FALSE)</f>
        <v>0</v>
      </c>
      <c r="AQ16" s="113">
        <f>VLOOKUP($A16,Alimentos!$A:$BA,43,FALSE)</f>
        <v>0</v>
      </c>
      <c r="AR16" s="113">
        <f>VLOOKUP($A16,Alimentos!$A:$BA,44,FALSE)</f>
        <v>0</v>
      </c>
      <c r="AS16" s="113">
        <f>VLOOKUP($A16,Alimentos!$A:$BA,45,FALSE)</f>
        <v>0</v>
      </c>
    </row>
    <row r="17" spans="1:48" x14ac:dyDescent="0.25">
      <c r="A17" s="108" t="s">
        <v>60</v>
      </c>
      <c r="B17" s="109">
        <f>VLOOKUP($A17,Alimentos!$A:$BA,2,FALSE)</f>
        <v>0</v>
      </c>
      <c r="C17" s="114">
        <f>VLOOKUP($A17,Alimentos!$A:$BA,4,FALSE)</f>
        <v>0</v>
      </c>
      <c r="E17" s="111">
        <f>VLOOKUP($A17,Alimentos!$A:$BA,5,FALSE)</f>
        <v>0</v>
      </c>
      <c r="F17" s="111">
        <f>VLOOKUP($A17,Alimentos!$A:$BA,6,FALSE)</f>
        <v>0</v>
      </c>
      <c r="G17" s="111">
        <f>VLOOKUP($A17,Alimentos!$A:$BA,7,FALSE)</f>
        <v>0</v>
      </c>
      <c r="H17" s="111">
        <f>VLOOKUP($A17,Alimentos!$A:$BA,8,FALSE)</f>
        <v>0</v>
      </c>
      <c r="I17" s="111">
        <f>VLOOKUP($A17,Alimentos!$A:$BA,9,FALSE)</f>
        <v>0</v>
      </c>
      <c r="J17" s="111">
        <f>VLOOKUP($A17,Alimentos!$A:$BA,10,FALSE)</f>
        <v>0</v>
      </c>
      <c r="K17" s="111">
        <f>VLOOKUP($A17,Alimentos!$A:$BA,11,FALSE)</f>
        <v>0</v>
      </c>
      <c r="L17" s="111">
        <f>VLOOKUP($A17,Alimentos!$A:$BA,12,FALSE)</f>
        <v>0</v>
      </c>
      <c r="M17" s="111">
        <f>VLOOKUP($A17,Alimentos!$A:$BA,13,FALSE)</f>
        <v>0</v>
      </c>
      <c r="N17" s="111">
        <f>VLOOKUP($A17,Alimentos!$A:$BA,14,FALSE)</f>
        <v>0</v>
      </c>
      <c r="O17" s="90">
        <f>VLOOKUP($A17,Alimentos!$A:$BA,15,FALSE)</f>
        <v>0</v>
      </c>
      <c r="P17" s="111">
        <f>VLOOKUP($A17,Alimentos!$A:$BA,16,FALSE)</f>
        <v>0</v>
      </c>
      <c r="Q17" s="111">
        <f>VLOOKUP($A17,Alimentos!$A:$BA,17,FALSE)</f>
        <v>0</v>
      </c>
      <c r="R17" s="111">
        <f>VLOOKUP($A17,Alimentos!$A:$BA,18,FALSE)</f>
        <v>0</v>
      </c>
      <c r="S17" s="111">
        <f>VLOOKUP($A17,Alimentos!$A:$BA,19,FALSE)</f>
        <v>0</v>
      </c>
      <c r="T17" s="111">
        <f>VLOOKUP($A17,Alimentos!$A:$BA,20,FALSE)</f>
        <v>0</v>
      </c>
      <c r="U17" s="111">
        <f>VLOOKUP($A17,Alimentos!$A:$BA,21,FALSE)</f>
        <v>0</v>
      </c>
      <c r="V17" s="111">
        <f>VLOOKUP($A17,Alimentos!$A:$BA,22,FALSE)</f>
        <v>0</v>
      </c>
      <c r="W17" s="112">
        <f>VLOOKUP($A17,Alimentos!$A:$BA,23,FALSE)</f>
        <v>0</v>
      </c>
      <c r="X17" s="112">
        <f>VLOOKUP($A17,Alimentos!$A:$BA,24,FALSE)</f>
        <v>0</v>
      </c>
      <c r="Y17" s="112">
        <f>VLOOKUP($A17,Alimentos!$A:$BA,25,FALSE)</f>
        <v>0</v>
      </c>
      <c r="Z17" s="112">
        <f>VLOOKUP($A17,Alimentos!$A:$BA,26,FALSE)</f>
        <v>0</v>
      </c>
      <c r="AA17" s="112">
        <f>VLOOKUP($A17,Alimentos!$A:$BA,27,FALSE)</f>
        <v>0</v>
      </c>
      <c r="AB17" s="112">
        <f>VLOOKUP($A17,Alimentos!$A:$BA,28,FALSE)</f>
        <v>0</v>
      </c>
      <c r="AC17" s="112">
        <f>VLOOKUP($A17,Alimentos!$A:$BA,29,FALSE)</f>
        <v>0</v>
      </c>
      <c r="AD17" s="112">
        <f>VLOOKUP($A17,Alimentos!$A:$BA,30,FALSE)</f>
        <v>0</v>
      </c>
      <c r="AE17" s="112">
        <f>VLOOKUP($A17,Alimentos!$A:$BA,31,FALSE)</f>
        <v>0</v>
      </c>
      <c r="AF17" s="113">
        <f>VLOOKUP($A17,Alimentos!$A:$BA,32,FALSE)</f>
        <v>0</v>
      </c>
      <c r="AG17" s="113">
        <f>VLOOKUP($A17,Alimentos!$A:$BA,33,FALSE)</f>
        <v>0</v>
      </c>
      <c r="AH17" s="113">
        <f>VLOOKUP($A17,Alimentos!$A:$BA,34,FALSE)</f>
        <v>0</v>
      </c>
      <c r="AI17" s="113">
        <f>VLOOKUP($A17,Alimentos!$A:$BA,35,FALSE)</f>
        <v>0</v>
      </c>
      <c r="AJ17" s="113">
        <f>VLOOKUP($A17,Alimentos!$A:$BA,36,FALSE)</f>
        <v>0</v>
      </c>
      <c r="AK17" s="113">
        <f>VLOOKUP($A17,Alimentos!$A:$BA,37,FALSE)</f>
        <v>0</v>
      </c>
      <c r="AL17" s="113">
        <f>VLOOKUP($A17,Alimentos!$A:$BA,38,FALSE)</f>
        <v>0</v>
      </c>
      <c r="AM17" s="113">
        <f>VLOOKUP($A17,Alimentos!$A:$BA,39,FALSE)</f>
        <v>0</v>
      </c>
      <c r="AN17" s="113">
        <f>VLOOKUP($A17,Alimentos!$A:$BA,40,FALSE)</f>
        <v>0</v>
      </c>
      <c r="AO17" s="113">
        <f>VLOOKUP($A17,Alimentos!$A:$BA,41,FALSE)</f>
        <v>0</v>
      </c>
      <c r="AP17" s="113">
        <f>VLOOKUP($A17,Alimentos!$A:$BA,42,FALSE)</f>
        <v>0</v>
      </c>
      <c r="AQ17" s="113">
        <f>VLOOKUP($A17,Alimentos!$A:$BA,43,FALSE)</f>
        <v>0</v>
      </c>
      <c r="AR17" s="113">
        <f>VLOOKUP($A17,Alimentos!$A:$BA,44,FALSE)</f>
        <v>0</v>
      </c>
      <c r="AS17" s="113">
        <f>VLOOKUP($A17,Alimentos!$A:$BA,45,FALSE)</f>
        <v>0</v>
      </c>
    </row>
    <row r="18" spans="1:48" x14ac:dyDescent="0.25">
      <c r="A18" s="108" t="s">
        <v>60</v>
      </c>
      <c r="B18" s="109">
        <f>VLOOKUP($A18,Alimentos!$A:$BA,2,FALSE)</f>
        <v>0</v>
      </c>
      <c r="C18" s="114">
        <f>VLOOKUP($A18,Alimentos!$A:$BA,4,FALSE)</f>
        <v>0</v>
      </c>
      <c r="E18" s="111">
        <f>VLOOKUP($A18,Alimentos!$A:$BA,5,FALSE)</f>
        <v>0</v>
      </c>
      <c r="F18" s="111">
        <f>VLOOKUP($A18,Alimentos!$A:$BA,6,FALSE)</f>
        <v>0</v>
      </c>
      <c r="G18" s="111">
        <f>VLOOKUP($A18,Alimentos!$A:$BA,7,FALSE)</f>
        <v>0</v>
      </c>
      <c r="H18" s="111">
        <f>VLOOKUP($A18,Alimentos!$A:$BA,8,FALSE)</f>
        <v>0</v>
      </c>
      <c r="I18" s="111">
        <f>VLOOKUP($A18,Alimentos!$A:$BA,9,FALSE)</f>
        <v>0</v>
      </c>
      <c r="J18" s="111">
        <f>VLOOKUP($A18,Alimentos!$A:$BA,10,FALSE)</f>
        <v>0</v>
      </c>
      <c r="K18" s="111">
        <f>VLOOKUP($A18,Alimentos!$A:$BA,11,FALSE)</f>
        <v>0</v>
      </c>
      <c r="L18" s="111">
        <f>VLOOKUP($A18,Alimentos!$A:$BA,12,FALSE)</f>
        <v>0</v>
      </c>
      <c r="M18" s="111">
        <f>VLOOKUP($A18,Alimentos!$A:$BA,13,FALSE)</f>
        <v>0</v>
      </c>
      <c r="N18" s="111">
        <f>VLOOKUP($A18,Alimentos!$A:$BA,14,FALSE)</f>
        <v>0</v>
      </c>
      <c r="O18" s="90">
        <f>VLOOKUP($A18,Alimentos!$A:$BA,15,FALSE)</f>
        <v>0</v>
      </c>
      <c r="P18" s="111">
        <f>VLOOKUP($A18,Alimentos!$A:$BA,16,FALSE)</f>
        <v>0</v>
      </c>
      <c r="Q18" s="111">
        <f>VLOOKUP($A18,Alimentos!$A:$BA,17,FALSE)</f>
        <v>0</v>
      </c>
      <c r="R18" s="111">
        <f>VLOOKUP($A18,Alimentos!$A:$BA,18,FALSE)</f>
        <v>0</v>
      </c>
      <c r="S18" s="111">
        <f>VLOOKUP($A18,Alimentos!$A:$BA,19,FALSE)</f>
        <v>0</v>
      </c>
      <c r="T18" s="111">
        <f>VLOOKUP($A18,Alimentos!$A:$BA,20,FALSE)</f>
        <v>0</v>
      </c>
      <c r="U18" s="111">
        <f>VLOOKUP($A18,Alimentos!$A:$BA,21,FALSE)</f>
        <v>0</v>
      </c>
      <c r="V18" s="111">
        <f>VLOOKUP($A18,Alimentos!$A:$BA,22,FALSE)</f>
        <v>0</v>
      </c>
      <c r="W18" s="112">
        <f>VLOOKUP($A18,Alimentos!$A:$BA,23,FALSE)</f>
        <v>0</v>
      </c>
      <c r="X18" s="112">
        <f>VLOOKUP($A18,Alimentos!$A:$BA,24,FALSE)</f>
        <v>0</v>
      </c>
      <c r="Y18" s="112">
        <f>VLOOKUP($A18,Alimentos!$A:$BA,25,FALSE)</f>
        <v>0</v>
      </c>
      <c r="Z18" s="112">
        <f>VLOOKUP($A18,Alimentos!$A:$BA,26,FALSE)</f>
        <v>0</v>
      </c>
      <c r="AA18" s="112">
        <f>VLOOKUP($A18,Alimentos!$A:$BA,27,FALSE)</f>
        <v>0</v>
      </c>
      <c r="AB18" s="112">
        <f>VLOOKUP($A18,Alimentos!$A:$BA,28,FALSE)</f>
        <v>0</v>
      </c>
      <c r="AC18" s="112">
        <f>VLOOKUP($A18,Alimentos!$A:$BA,29,FALSE)</f>
        <v>0</v>
      </c>
      <c r="AD18" s="112">
        <f>VLOOKUP($A18,Alimentos!$A:$BA,30,FALSE)</f>
        <v>0</v>
      </c>
      <c r="AE18" s="112">
        <f>VLOOKUP($A18,Alimentos!$A:$BA,31,FALSE)</f>
        <v>0</v>
      </c>
      <c r="AF18" s="113">
        <f>VLOOKUP($A18,Alimentos!$A:$BA,32,FALSE)</f>
        <v>0</v>
      </c>
      <c r="AG18" s="113">
        <f>VLOOKUP($A18,Alimentos!$A:$BA,33,FALSE)</f>
        <v>0</v>
      </c>
      <c r="AH18" s="113">
        <f>VLOOKUP($A18,Alimentos!$A:$BA,34,FALSE)</f>
        <v>0</v>
      </c>
      <c r="AI18" s="113">
        <f>VLOOKUP($A18,Alimentos!$A:$BA,35,FALSE)</f>
        <v>0</v>
      </c>
      <c r="AJ18" s="113">
        <f>VLOOKUP($A18,Alimentos!$A:$BA,36,FALSE)</f>
        <v>0</v>
      </c>
      <c r="AK18" s="113">
        <f>VLOOKUP($A18,Alimentos!$A:$BA,37,FALSE)</f>
        <v>0</v>
      </c>
      <c r="AL18" s="113">
        <f>VLOOKUP($A18,Alimentos!$A:$BA,38,FALSE)</f>
        <v>0</v>
      </c>
      <c r="AM18" s="113">
        <f>VLOOKUP($A18,Alimentos!$A:$BA,39,FALSE)</f>
        <v>0</v>
      </c>
      <c r="AN18" s="113">
        <f>VLOOKUP($A18,Alimentos!$A:$BA,40,FALSE)</f>
        <v>0</v>
      </c>
      <c r="AO18" s="113">
        <f>VLOOKUP($A18,Alimentos!$A:$BA,41,FALSE)</f>
        <v>0</v>
      </c>
      <c r="AP18" s="113">
        <f>VLOOKUP($A18,Alimentos!$A:$BA,42,FALSE)</f>
        <v>0</v>
      </c>
      <c r="AQ18" s="113">
        <f>VLOOKUP($A18,Alimentos!$A:$BA,43,FALSE)</f>
        <v>0</v>
      </c>
      <c r="AR18" s="113">
        <f>VLOOKUP($A18,Alimentos!$A:$BA,44,FALSE)</f>
        <v>0</v>
      </c>
      <c r="AS18" s="113">
        <f>VLOOKUP($A18,Alimentos!$A:$BA,45,FALSE)</f>
        <v>0</v>
      </c>
    </row>
    <row r="19" spans="1:48" x14ac:dyDescent="0.25">
      <c r="A19" s="108" t="s">
        <v>60</v>
      </c>
      <c r="B19" s="109">
        <f>VLOOKUP($A19,Alimentos!$A:$BA,2,FALSE)</f>
        <v>0</v>
      </c>
      <c r="C19" s="114">
        <f>VLOOKUP($A19,Alimentos!$A:$BA,4,FALSE)</f>
        <v>0</v>
      </c>
      <c r="E19" s="111">
        <f>VLOOKUP($A19,Alimentos!$A:$BA,5,FALSE)</f>
        <v>0</v>
      </c>
      <c r="F19" s="111">
        <f>VLOOKUP($A19,Alimentos!$A:$BA,6,FALSE)</f>
        <v>0</v>
      </c>
      <c r="G19" s="111">
        <f>VLOOKUP($A19,Alimentos!$A:$BA,7,FALSE)</f>
        <v>0</v>
      </c>
      <c r="H19" s="111">
        <f>VLOOKUP($A19,Alimentos!$A:$BA,8,FALSE)</f>
        <v>0</v>
      </c>
      <c r="I19" s="111">
        <f>VLOOKUP($A19,Alimentos!$A:$BA,9,FALSE)</f>
        <v>0</v>
      </c>
      <c r="J19" s="111">
        <f>VLOOKUP($A19,Alimentos!$A:$BA,10,FALSE)</f>
        <v>0</v>
      </c>
      <c r="K19" s="111">
        <f>VLOOKUP($A19,Alimentos!$A:$BA,11,FALSE)</f>
        <v>0</v>
      </c>
      <c r="L19" s="111">
        <f>VLOOKUP($A19,Alimentos!$A:$BA,12,FALSE)</f>
        <v>0</v>
      </c>
      <c r="M19" s="111">
        <f>VLOOKUP($A19,Alimentos!$A:$BA,13,FALSE)</f>
        <v>0</v>
      </c>
      <c r="N19" s="111">
        <f>VLOOKUP($A19,Alimentos!$A:$BA,14,FALSE)</f>
        <v>0</v>
      </c>
      <c r="O19" s="90">
        <f>VLOOKUP($A19,Alimentos!$A:$BA,15,FALSE)</f>
        <v>0</v>
      </c>
      <c r="P19" s="111">
        <f>VLOOKUP($A19,Alimentos!$A:$BA,16,FALSE)</f>
        <v>0</v>
      </c>
      <c r="Q19" s="111">
        <f>VLOOKUP($A19,Alimentos!$A:$BA,17,FALSE)</f>
        <v>0</v>
      </c>
      <c r="R19" s="111">
        <f>VLOOKUP($A19,Alimentos!$A:$BA,18,FALSE)</f>
        <v>0</v>
      </c>
      <c r="S19" s="111">
        <f>VLOOKUP($A19,Alimentos!$A:$BA,19,FALSE)</f>
        <v>0</v>
      </c>
      <c r="T19" s="111">
        <f>VLOOKUP($A19,Alimentos!$A:$BA,20,FALSE)</f>
        <v>0</v>
      </c>
      <c r="U19" s="111">
        <f>VLOOKUP($A19,Alimentos!$A:$BA,21,FALSE)</f>
        <v>0</v>
      </c>
      <c r="V19" s="111">
        <f>VLOOKUP($A19,Alimentos!$A:$BA,22,FALSE)</f>
        <v>0</v>
      </c>
      <c r="W19" s="112">
        <f>VLOOKUP($A19,Alimentos!$A:$BA,23,FALSE)</f>
        <v>0</v>
      </c>
      <c r="X19" s="112">
        <f>VLOOKUP($A19,Alimentos!$A:$BA,24,FALSE)</f>
        <v>0</v>
      </c>
      <c r="Y19" s="112">
        <f>VLOOKUP($A19,Alimentos!$A:$BA,25,FALSE)</f>
        <v>0</v>
      </c>
      <c r="Z19" s="112">
        <f>VLOOKUP($A19,Alimentos!$A:$BA,26,FALSE)</f>
        <v>0</v>
      </c>
      <c r="AA19" s="112">
        <f>VLOOKUP($A19,Alimentos!$A:$BA,27,FALSE)</f>
        <v>0</v>
      </c>
      <c r="AB19" s="112">
        <f>VLOOKUP($A19,Alimentos!$A:$BA,28,FALSE)</f>
        <v>0</v>
      </c>
      <c r="AC19" s="112">
        <f>VLOOKUP($A19,Alimentos!$A:$BA,29,FALSE)</f>
        <v>0</v>
      </c>
      <c r="AD19" s="112">
        <f>VLOOKUP($A19,Alimentos!$A:$BA,30,FALSE)</f>
        <v>0</v>
      </c>
      <c r="AE19" s="112">
        <f>VLOOKUP($A19,Alimentos!$A:$BA,31,FALSE)</f>
        <v>0</v>
      </c>
      <c r="AF19" s="113">
        <f>VLOOKUP($A19,Alimentos!$A:$BA,32,FALSE)</f>
        <v>0</v>
      </c>
      <c r="AG19" s="113">
        <f>VLOOKUP($A19,Alimentos!$A:$BA,33,FALSE)</f>
        <v>0</v>
      </c>
      <c r="AH19" s="113">
        <f>VLOOKUP($A19,Alimentos!$A:$BA,34,FALSE)</f>
        <v>0</v>
      </c>
      <c r="AI19" s="113">
        <f>VLOOKUP($A19,Alimentos!$A:$BA,35,FALSE)</f>
        <v>0</v>
      </c>
      <c r="AJ19" s="113">
        <f>VLOOKUP($A19,Alimentos!$A:$BA,36,FALSE)</f>
        <v>0</v>
      </c>
      <c r="AK19" s="113">
        <f>VLOOKUP($A19,Alimentos!$A:$BA,37,FALSE)</f>
        <v>0</v>
      </c>
      <c r="AL19" s="113">
        <f>VLOOKUP($A19,Alimentos!$A:$BA,38,FALSE)</f>
        <v>0</v>
      </c>
      <c r="AM19" s="113">
        <f>VLOOKUP($A19,Alimentos!$A:$BA,39,FALSE)</f>
        <v>0</v>
      </c>
      <c r="AN19" s="113">
        <f>VLOOKUP($A19,Alimentos!$A:$BA,40,FALSE)</f>
        <v>0</v>
      </c>
      <c r="AO19" s="113">
        <f>VLOOKUP($A19,Alimentos!$A:$BA,41,FALSE)</f>
        <v>0</v>
      </c>
      <c r="AP19" s="113">
        <f>VLOOKUP($A19,Alimentos!$A:$BA,42,FALSE)</f>
        <v>0</v>
      </c>
      <c r="AQ19" s="113">
        <f>VLOOKUP($A19,Alimentos!$A:$BA,43,FALSE)</f>
        <v>0</v>
      </c>
      <c r="AR19" s="113">
        <f>VLOOKUP($A19,Alimentos!$A:$BA,44,FALSE)</f>
        <v>0</v>
      </c>
      <c r="AS19" s="113">
        <f>VLOOKUP($A19,Alimentos!$A:$BA,45,FALSE)</f>
        <v>0</v>
      </c>
    </row>
    <row r="20" spans="1:48" x14ac:dyDescent="0.25">
      <c r="A20" s="108" t="s">
        <v>60</v>
      </c>
      <c r="B20" s="109">
        <f>VLOOKUP($A20,Alimentos!$A:$BA,2,FALSE)</f>
        <v>0</v>
      </c>
      <c r="C20" s="114">
        <f>VLOOKUP($A20,Alimentos!$A:$BA,4,FALSE)</f>
        <v>0</v>
      </c>
      <c r="E20" s="111">
        <f>VLOOKUP($A20,Alimentos!$A:$BA,5,FALSE)</f>
        <v>0</v>
      </c>
      <c r="F20" s="111">
        <f>VLOOKUP($A20,Alimentos!$A:$BA,6,FALSE)</f>
        <v>0</v>
      </c>
      <c r="G20" s="111">
        <f>VLOOKUP($A20,Alimentos!$A:$BA,7,FALSE)</f>
        <v>0</v>
      </c>
      <c r="H20" s="111">
        <f>VLOOKUP($A20,Alimentos!$A:$BA,8,FALSE)</f>
        <v>0</v>
      </c>
      <c r="I20" s="111">
        <f>VLOOKUP($A20,Alimentos!$A:$BA,9,FALSE)</f>
        <v>0</v>
      </c>
      <c r="J20" s="111">
        <f>VLOOKUP($A20,Alimentos!$A:$BA,10,FALSE)</f>
        <v>0</v>
      </c>
      <c r="K20" s="111">
        <f>VLOOKUP($A20,Alimentos!$A:$BA,11,FALSE)</f>
        <v>0</v>
      </c>
      <c r="L20" s="111">
        <f>VLOOKUP($A20,Alimentos!$A:$BA,12,FALSE)</f>
        <v>0</v>
      </c>
      <c r="M20" s="111">
        <f>VLOOKUP($A20,Alimentos!$A:$BA,13,FALSE)</f>
        <v>0</v>
      </c>
      <c r="N20" s="111">
        <f>VLOOKUP($A20,Alimentos!$A:$BA,14,FALSE)</f>
        <v>0</v>
      </c>
      <c r="O20" s="90">
        <f>VLOOKUP($A20,Alimentos!$A:$BA,15,FALSE)</f>
        <v>0</v>
      </c>
      <c r="P20" s="111">
        <f>VLOOKUP($A20,Alimentos!$A:$BA,16,FALSE)</f>
        <v>0</v>
      </c>
      <c r="Q20" s="111">
        <f>VLOOKUP($A20,Alimentos!$A:$BA,17,FALSE)</f>
        <v>0</v>
      </c>
      <c r="R20" s="111">
        <f>VLOOKUP($A20,Alimentos!$A:$BA,18,FALSE)</f>
        <v>0</v>
      </c>
      <c r="S20" s="111">
        <f>VLOOKUP($A20,Alimentos!$A:$BA,19,FALSE)</f>
        <v>0</v>
      </c>
      <c r="T20" s="111">
        <f>VLOOKUP($A20,Alimentos!$A:$BA,20,FALSE)</f>
        <v>0</v>
      </c>
      <c r="U20" s="111">
        <f>VLOOKUP($A20,Alimentos!$A:$BA,21,FALSE)</f>
        <v>0</v>
      </c>
      <c r="V20" s="111">
        <f>VLOOKUP($A20,Alimentos!$A:$BA,22,FALSE)</f>
        <v>0</v>
      </c>
      <c r="W20" s="112">
        <f>VLOOKUP($A20,Alimentos!$A:$BA,23,FALSE)</f>
        <v>0</v>
      </c>
      <c r="X20" s="112">
        <f>VLOOKUP($A20,Alimentos!$A:$BA,24,FALSE)</f>
        <v>0</v>
      </c>
      <c r="Y20" s="112">
        <f>VLOOKUP($A20,Alimentos!$A:$BA,25,FALSE)</f>
        <v>0</v>
      </c>
      <c r="Z20" s="112">
        <f>VLOOKUP($A20,Alimentos!$A:$BA,26,FALSE)</f>
        <v>0</v>
      </c>
      <c r="AA20" s="112">
        <f>VLOOKUP($A20,Alimentos!$A:$BA,27,FALSE)</f>
        <v>0</v>
      </c>
      <c r="AB20" s="112">
        <f>VLOOKUP($A20,Alimentos!$A:$BA,28,FALSE)</f>
        <v>0</v>
      </c>
      <c r="AC20" s="112">
        <f>VLOOKUP($A20,Alimentos!$A:$BA,29,FALSE)</f>
        <v>0</v>
      </c>
      <c r="AD20" s="112">
        <f>VLOOKUP($A20,Alimentos!$A:$BA,30,FALSE)</f>
        <v>0</v>
      </c>
      <c r="AE20" s="112">
        <f>VLOOKUP($A20,Alimentos!$A:$BA,31,FALSE)</f>
        <v>0</v>
      </c>
      <c r="AF20" s="113">
        <f>VLOOKUP($A20,Alimentos!$A:$BA,32,FALSE)</f>
        <v>0</v>
      </c>
      <c r="AG20" s="113">
        <f>VLOOKUP($A20,Alimentos!$A:$BA,33,FALSE)</f>
        <v>0</v>
      </c>
      <c r="AH20" s="113">
        <f>VLOOKUP($A20,Alimentos!$A:$BA,34,FALSE)</f>
        <v>0</v>
      </c>
      <c r="AI20" s="113">
        <f>VLOOKUP($A20,Alimentos!$A:$BA,35,FALSE)</f>
        <v>0</v>
      </c>
      <c r="AJ20" s="113">
        <f>VLOOKUP($A20,Alimentos!$A:$BA,36,FALSE)</f>
        <v>0</v>
      </c>
      <c r="AK20" s="113">
        <f>VLOOKUP($A20,Alimentos!$A:$BA,37,FALSE)</f>
        <v>0</v>
      </c>
      <c r="AL20" s="113">
        <f>VLOOKUP($A20,Alimentos!$A:$BA,38,FALSE)</f>
        <v>0</v>
      </c>
      <c r="AM20" s="113">
        <f>VLOOKUP($A20,Alimentos!$A:$BA,39,FALSE)</f>
        <v>0</v>
      </c>
      <c r="AN20" s="113">
        <f>VLOOKUP($A20,Alimentos!$A:$BA,40,FALSE)</f>
        <v>0</v>
      </c>
      <c r="AO20" s="113">
        <f>VLOOKUP($A20,Alimentos!$A:$BA,41,FALSE)</f>
        <v>0</v>
      </c>
      <c r="AP20" s="113">
        <f>VLOOKUP($A20,Alimentos!$A:$BA,42,FALSE)</f>
        <v>0</v>
      </c>
      <c r="AQ20" s="113">
        <f>VLOOKUP($A20,Alimentos!$A:$BA,43,FALSE)</f>
        <v>0</v>
      </c>
      <c r="AR20" s="113">
        <f>VLOOKUP($A20,Alimentos!$A:$BA,44,FALSE)</f>
        <v>0</v>
      </c>
      <c r="AS20" s="113">
        <f>VLOOKUP($A20,Alimentos!$A:$BA,45,FALSE)</f>
        <v>0</v>
      </c>
    </row>
    <row r="21" spans="1:48" ht="17.25" thickBot="1" x14ac:dyDescent="0.3">
      <c r="A21" s="116" t="s">
        <v>60</v>
      </c>
      <c r="B21" s="117">
        <f>VLOOKUP($A21,Alimentos!$A:$BA,2,FALSE)</f>
        <v>0</v>
      </c>
      <c r="C21" s="118">
        <f>VLOOKUP($A21,Alimentos!$A:$BA,4,FALSE)</f>
        <v>0</v>
      </c>
      <c r="D21" s="119"/>
      <c r="E21" s="120">
        <f>VLOOKUP($A21,Alimentos!$A:$BA,5,FALSE)</f>
        <v>0</v>
      </c>
      <c r="F21" s="120">
        <f>VLOOKUP($A21,Alimentos!$A:$BA,6,FALSE)</f>
        <v>0</v>
      </c>
      <c r="G21" s="120">
        <f>VLOOKUP($A21,Alimentos!$A:$BA,7,FALSE)</f>
        <v>0</v>
      </c>
      <c r="H21" s="120">
        <f>VLOOKUP($A21,Alimentos!$A:$BA,8,FALSE)</f>
        <v>0</v>
      </c>
      <c r="I21" s="120">
        <f>VLOOKUP($A21,Alimentos!$A:$BA,9,FALSE)</f>
        <v>0</v>
      </c>
      <c r="J21" s="120">
        <f>VLOOKUP($A21,Alimentos!$A:$BA,10,FALSE)</f>
        <v>0</v>
      </c>
      <c r="K21" s="120">
        <f>VLOOKUP($A21,Alimentos!$A:$BA,11,FALSE)</f>
        <v>0</v>
      </c>
      <c r="L21" s="120">
        <f>VLOOKUP($A21,Alimentos!$A:$BA,12,FALSE)</f>
        <v>0</v>
      </c>
      <c r="M21" s="120">
        <f>VLOOKUP($A21,Alimentos!$A:$BA,13,FALSE)</f>
        <v>0</v>
      </c>
      <c r="N21" s="120">
        <f>VLOOKUP($A21,Alimentos!$A:$BA,14,FALSE)</f>
        <v>0</v>
      </c>
      <c r="O21" s="121">
        <f>VLOOKUP($A21,Alimentos!$A:$BA,15,FALSE)</f>
        <v>0</v>
      </c>
      <c r="P21" s="120">
        <f>VLOOKUP($A21,Alimentos!$A:$BA,16,FALSE)</f>
        <v>0</v>
      </c>
      <c r="Q21" s="120">
        <f>VLOOKUP($A21,Alimentos!$A:$BA,17,FALSE)</f>
        <v>0</v>
      </c>
      <c r="R21" s="120">
        <f>VLOOKUP($A21,Alimentos!$A:$BA,18,FALSE)</f>
        <v>0</v>
      </c>
      <c r="S21" s="120">
        <f>VLOOKUP($A21,Alimentos!$A:$BA,19,FALSE)</f>
        <v>0</v>
      </c>
      <c r="T21" s="120">
        <f>VLOOKUP($A21,Alimentos!$A:$BA,20,FALSE)</f>
        <v>0</v>
      </c>
      <c r="U21" s="120">
        <f>VLOOKUP($A21,Alimentos!$A:$BA,21,FALSE)</f>
        <v>0</v>
      </c>
      <c r="V21" s="120">
        <f>VLOOKUP($A21,Alimentos!$A:$BA,22,FALSE)</f>
        <v>0</v>
      </c>
      <c r="W21" s="122">
        <f>VLOOKUP($A21,Alimentos!$A:$BA,23,FALSE)</f>
        <v>0</v>
      </c>
      <c r="X21" s="122">
        <f>VLOOKUP($A21,Alimentos!$A:$BA,24,FALSE)</f>
        <v>0</v>
      </c>
      <c r="Y21" s="122">
        <f>VLOOKUP($A21,Alimentos!$A:$BA,25,FALSE)</f>
        <v>0</v>
      </c>
      <c r="Z21" s="122">
        <f>VLOOKUP($A21,Alimentos!$A:$BA,26,FALSE)</f>
        <v>0</v>
      </c>
      <c r="AA21" s="122">
        <f>VLOOKUP($A21,Alimentos!$A:$BA,27,FALSE)</f>
        <v>0</v>
      </c>
      <c r="AB21" s="122">
        <f>VLOOKUP($A21,Alimentos!$A:$BA,28,FALSE)</f>
        <v>0</v>
      </c>
      <c r="AC21" s="122">
        <f>VLOOKUP($A21,Alimentos!$A:$BA,29,FALSE)</f>
        <v>0</v>
      </c>
      <c r="AD21" s="122">
        <f>VLOOKUP($A21,Alimentos!$A:$BA,30,FALSE)</f>
        <v>0</v>
      </c>
      <c r="AE21" s="122">
        <f>VLOOKUP($A21,Alimentos!$A:$BA,31,FALSE)</f>
        <v>0</v>
      </c>
      <c r="AF21" s="123">
        <f>VLOOKUP($A21,Alimentos!$A:$BA,32,FALSE)</f>
        <v>0</v>
      </c>
      <c r="AG21" s="123">
        <f>VLOOKUP($A21,Alimentos!$A:$BA,33,FALSE)</f>
        <v>0</v>
      </c>
      <c r="AH21" s="123">
        <f>VLOOKUP($A21,Alimentos!$A:$BA,34,FALSE)</f>
        <v>0</v>
      </c>
      <c r="AI21" s="123">
        <f>VLOOKUP($A21,Alimentos!$A:$BA,35,FALSE)</f>
        <v>0</v>
      </c>
      <c r="AJ21" s="123">
        <f>VLOOKUP($A21,Alimentos!$A:$BA,36,FALSE)</f>
        <v>0</v>
      </c>
      <c r="AK21" s="123">
        <f>VLOOKUP($A21,Alimentos!$A:$BA,37,FALSE)</f>
        <v>0</v>
      </c>
      <c r="AL21" s="123">
        <f>VLOOKUP($A21,Alimentos!$A:$BA,38,FALSE)</f>
        <v>0</v>
      </c>
      <c r="AM21" s="123">
        <f>VLOOKUP($A21,Alimentos!$A:$BA,39,FALSE)</f>
        <v>0</v>
      </c>
      <c r="AN21" s="123">
        <f>VLOOKUP($A21,Alimentos!$A:$BA,40,FALSE)</f>
        <v>0</v>
      </c>
      <c r="AO21" s="123">
        <f>VLOOKUP($A21,Alimentos!$A:$BA,41,FALSE)</f>
        <v>0</v>
      </c>
      <c r="AP21" s="123">
        <f>VLOOKUP($A21,Alimentos!$A:$BA,42,FALSE)</f>
        <v>0</v>
      </c>
      <c r="AQ21" s="123">
        <f>VLOOKUP($A21,Alimentos!$A:$BA,43,FALSE)</f>
        <v>0</v>
      </c>
      <c r="AR21" s="123">
        <f>VLOOKUP($A21,Alimentos!$A:$BA,44,FALSE)</f>
        <v>0</v>
      </c>
      <c r="AS21" s="123">
        <f>VLOOKUP($A21,Alimentos!$A:$BA,45,FALSE)</f>
        <v>0</v>
      </c>
    </row>
    <row r="22" spans="1:48" ht="17.25" thickTop="1" x14ac:dyDescent="0.25">
      <c r="E22" s="82"/>
      <c r="AF22" s="77"/>
      <c r="AG22" s="77"/>
      <c r="AH22" s="77"/>
      <c r="AI22" s="77"/>
    </row>
    <row r="23" spans="1:48" s="98" customFormat="1" x14ac:dyDescent="0.25">
      <c r="A23" s="98" t="s">
        <v>1</v>
      </c>
      <c r="B23" s="85" t="str">
        <f>B4</f>
        <v>R$/Kg MN</v>
      </c>
      <c r="C23" s="85" t="s">
        <v>30</v>
      </c>
      <c r="D23" s="85" t="s">
        <v>3</v>
      </c>
      <c r="E23" s="82" t="s">
        <v>30</v>
      </c>
      <c r="F23" s="85" t="s">
        <v>30</v>
      </c>
      <c r="G23" s="85" t="s">
        <v>30</v>
      </c>
      <c r="H23" s="85" t="s">
        <v>30</v>
      </c>
      <c r="I23" s="85" t="s">
        <v>30</v>
      </c>
      <c r="J23" s="94" t="s">
        <v>30</v>
      </c>
      <c r="K23" s="94" t="s">
        <v>30</v>
      </c>
      <c r="L23" s="94" t="s">
        <v>30</v>
      </c>
      <c r="M23" s="85" t="s">
        <v>30</v>
      </c>
      <c r="N23" s="85" t="s">
        <v>30</v>
      </c>
      <c r="O23" s="94" t="s">
        <v>31</v>
      </c>
      <c r="P23" s="94" t="s">
        <v>30</v>
      </c>
      <c r="Q23" s="94" t="s">
        <v>30</v>
      </c>
      <c r="R23" s="94" t="s">
        <v>30</v>
      </c>
      <c r="S23" s="85" t="s">
        <v>30</v>
      </c>
      <c r="T23" s="85" t="s">
        <v>30</v>
      </c>
      <c r="U23" s="94" t="s">
        <v>30</v>
      </c>
      <c r="V23" s="94" t="s">
        <v>30</v>
      </c>
      <c r="W23" s="85" t="s">
        <v>30</v>
      </c>
      <c r="X23" s="85" t="s">
        <v>30</v>
      </c>
      <c r="Y23" s="85" t="s">
        <v>30</v>
      </c>
      <c r="Z23" s="85" t="s">
        <v>30</v>
      </c>
      <c r="AA23" s="85" t="s">
        <v>30</v>
      </c>
      <c r="AB23" s="85" t="s">
        <v>30</v>
      </c>
      <c r="AC23" s="85" t="s">
        <v>30</v>
      </c>
      <c r="AD23" s="85" t="s">
        <v>30</v>
      </c>
      <c r="AE23" s="85" t="s">
        <v>30</v>
      </c>
      <c r="AF23" s="85" t="s">
        <v>49</v>
      </c>
      <c r="AG23" s="85" t="s">
        <v>49</v>
      </c>
      <c r="AH23" s="85" t="s">
        <v>49</v>
      </c>
      <c r="AI23" s="85" t="s">
        <v>49</v>
      </c>
      <c r="AJ23" s="85" t="s">
        <v>49</v>
      </c>
      <c r="AK23" s="85" t="s">
        <v>49</v>
      </c>
      <c r="AL23" s="85" t="s">
        <v>49</v>
      </c>
      <c r="AM23" s="85" t="s">
        <v>51</v>
      </c>
      <c r="AN23" s="85" t="s">
        <v>51</v>
      </c>
      <c r="AO23" s="85" t="s">
        <v>51</v>
      </c>
      <c r="AP23" s="85" t="s">
        <v>49</v>
      </c>
      <c r="AQ23" s="85" t="s">
        <v>49</v>
      </c>
      <c r="AR23" s="85" t="s">
        <v>49</v>
      </c>
      <c r="AS23" s="85" t="s">
        <v>173</v>
      </c>
    </row>
    <row r="24" spans="1:48" s="98" customFormat="1" ht="17.25" thickBot="1" x14ac:dyDescent="0.3">
      <c r="A24" s="98" t="s">
        <v>5</v>
      </c>
      <c r="B24" s="85" t="s">
        <v>6</v>
      </c>
      <c r="C24" s="85" t="s">
        <v>66</v>
      </c>
      <c r="D24" s="85" t="s">
        <v>7</v>
      </c>
      <c r="E24" s="82" t="s">
        <v>7</v>
      </c>
      <c r="F24" s="85" t="s">
        <v>8</v>
      </c>
      <c r="G24" s="85" t="s">
        <v>9</v>
      </c>
      <c r="H24" s="95" t="s">
        <v>67</v>
      </c>
      <c r="I24" s="85" t="s">
        <v>10</v>
      </c>
      <c r="J24" s="94" t="s">
        <v>11</v>
      </c>
      <c r="K24" s="94" t="s">
        <v>112</v>
      </c>
      <c r="L24" s="94" t="s">
        <v>113</v>
      </c>
      <c r="M24" s="85" t="s">
        <v>12</v>
      </c>
      <c r="N24" s="85" t="s">
        <v>13</v>
      </c>
      <c r="O24" s="95" t="s">
        <v>14</v>
      </c>
      <c r="P24" s="94" t="s">
        <v>15</v>
      </c>
      <c r="Q24" s="94" t="s">
        <v>115</v>
      </c>
      <c r="R24" s="94" t="s">
        <v>114</v>
      </c>
      <c r="S24" s="93" t="s">
        <v>17</v>
      </c>
      <c r="T24" s="93" t="s">
        <v>18</v>
      </c>
      <c r="U24" s="94" t="s">
        <v>99</v>
      </c>
      <c r="V24" s="94" t="s">
        <v>102</v>
      </c>
      <c r="W24" s="96" t="s">
        <v>19</v>
      </c>
      <c r="X24" s="96" t="s">
        <v>20</v>
      </c>
      <c r="Y24" s="96" t="s">
        <v>21</v>
      </c>
      <c r="Z24" s="96" t="s">
        <v>22</v>
      </c>
      <c r="AA24" s="96" t="s">
        <v>23</v>
      </c>
      <c r="AB24" s="96" t="s">
        <v>24</v>
      </c>
      <c r="AC24" s="96" t="s">
        <v>25</v>
      </c>
      <c r="AD24" s="96" t="s">
        <v>26</v>
      </c>
      <c r="AE24" s="96" t="s">
        <v>27</v>
      </c>
      <c r="AF24" s="97" t="s">
        <v>37</v>
      </c>
      <c r="AG24" s="97" t="s">
        <v>38</v>
      </c>
      <c r="AH24" s="97" t="s">
        <v>41</v>
      </c>
      <c r="AI24" s="97" t="s">
        <v>43</v>
      </c>
      <c r="AJ24" s="97" t="s">
        <v>42</v>
      </c>
      <c r="AK24" s="97" t="s">
        <v>40</v>
      </c>
      <c r="AL24" s="97" t="s">
        <v>39</v>
      </c>
      <c r="AM24" s="97" t="s">
        <v>44</v>
      </c>
      <c r="AN24" s="97" t="s">
        <v>45</v>
      </c>
      <c r="AO24" s="97" t="s">
        <v>46</v>
      </c>
      <c r="AP24" s="97" t="s">
        <v>47</v>
      </c>
      <c r="AQ24" s="97" t="s">
        <v>48</v>
      </c>
      <c r="AR24" s="97" t="s">
        <v>170</v>
      </c>
      <c r="AS24" s="97" t="s">
        <v>171</v>
      </c>
    </row>
    <row r="25" spans="1:48" ht="17.25" thickTop="1" x14ac:dyDescent="0.25">
      <c r="A25" s="124" t="str">
        <f>A6</f>
        <v>x</v>
      </c>
      <c r="B25" s="90">
        <f t="shared" ref="B25:B40" si="0">C25*B6</f>
        <v>0</v>
      </c>
      <c r="C25" s="125"/>
      <c r="D25" s="111" t="e">
        <f t="shared" ref="D25:D40" si="1">E25/E$43</f>
        <v>#DIV/0!</v>
      </c>
      <c r="E25" s="90">
        <f t="shared" ref="E25:E40" si="2">C25*E6</f>
        <v>0</v>
      </c>
      <c r="F25" s="109">
        <f t="shared" ref="F25:Q40" si="3">$E25*F6</f>
        <v>0</v>
      </c>
      <c r="G25" s="109">
        <f t="shared" si="3"/>
        <v>0</v>
      </c>
      <c r="H25" s="109">
        <f t="shared" si="3"/>
        <v>0</v>
      </c>
      <c r="I25" s="109">
        <f t="shared" si="3"/>
        <v>0</v>
      </c>
      <c r="J25" s="109">
        <f t="shared" si="3"/>
        <v>0</v>
      </c>
      <c r="K25" s="109">
        <f>IF(AT25="S",((((I6*K6*100)*0.9465)+4.5798)/100)*E25,IF(AT25="F",I6*K6*E25,0))</f>
        <v>0</v>
      </c>
      <c r="L25" s="109">
        <f>IF(AT25="S",((((I6*L6*100)*1.0083)+0.4502)/100)*E25,IF(AT25="F",I6*L6*E25,0))</f>
        <v>0</v>
      </c>
      <c r="M25" s="109">
        <f t="shared" ref="M25:U40" si="4">$E25*M6</f>
        <v>0</v>
      </c>
      <c r="N25" s="109">
        <f t="shared" si="4"/>
        <v>0</v>
      </c>
      <c r="O25" s="90">
        <f t="shared" si="4"/>
        <v>0</v>
      </c>
      <c r="P25" s="109">
        <f t="shared" si="4"/>
        <v>0</v>
      </c>
      <c r="Q25" s="109">
        <f t="shared" si="4"/>
        <v>0</v>
      </c>
      <c r="R25" s="109">
        <f t="shared" si="4"/>
        <v>0</v>
      </c>
      <c r="S25" s="109">
        <f t="shared" si="4"/>
        <v>0</v>
      </c>
      <c r="T25" s="109">
        <f t="shared" si="4"/>
        <v>0</v>
      </c>
      <c r="U25" s="109">
        <f t="shared" si="4"/>
        <v>0</v>
      </c>
      <c r="V25" s="109" t="e">
        <f t="shared" ref="V25:V40" si="5">(V6/(V6+I$56))*U25</f>
        <v>#DIV/0!</v>
      </c>
      <c r="W25" s="109">
        <f t="shared" ref="W25:AS36" si="6">$E25*W6</f>
        <v>0</v>
      </c>
      <c r="X25" s="109">
        <f t="shared" si="6"/>
        <v>0</v>
      </c>
      <c r="Y25" s="109">
        <f t="shared" si="6"/>
        <v>0</v>
      </c>
      <c r="Z25" s="109">
        <f t="shared" si="6"/>
        <v>0</v>
      </c>
      <c r="AA25" s="109">
        <f t="shared" si="6"/>
        <v>0</v>
      </c>
      <c r="AB25" s="109">
        <f t="shared" si="6"/>
        <v>0</v>
      </c>
      <c r="AC25" s="109">
        <f t="shared" si="6"/>
        <v>0</v>
      </c>
      <c r="AD25" s="109">
        <f t="shared" si="6"/>
        <v>0</v>
      </c>
      <c r="AE25" s="109">
        <f t="shared" si="6"/>
        <v>0</v>
      </c>
      <c r="AF25" s="126">
        <f t="shared" si="6"/>
        <v>0</v>
      </c>
      <c r="AG25" s="126">
        <f t="shared" si="6"/>
        <v>0</v>
      </c>
      <c r="AH25" s="126">
        <f t="shared" si="6"/>
        <v>0</v>
      </c>
      <c r="AI25" s="126">
        <f t="shared" si="6"/>
        <v>0</v>
      </c>
      <c r="AJ25" s="126">
        <f t="shared" si="6"/>
        <v>0</v>
      </c>
      <c r="AK25" s="126">
        <f t="shared" si="6"/>
        <v>0</v>
      </c>
      <c r="AL25" s="126">
        <f t="shared" si="6"/>
        <v>0</v>
      </c>
      <c r="AM25" s="126">
        <f t="shared" si="6"/>
        <v>0</v>
      </c>
      <c r="AN25" s="126">
        <f t="shared" si="6"/>
        <v>0</v>
      </c>
      <c r="AO25" s="126">
        <f t="shared" si="6"/>
        <v>0</v>
      </c>
      <c r="AP25" s="126">
        <f t="shared" si="6"/>
        <v>0</v>
      </c>
      <c r="AQ25" s="126">
        <f t="shared" si="6"/>
        <v>0</v>
      </c>
      <c r="AR25" s="126">
        <f t="shared" si="6"/>
        <v>0</v>
      </c>
      <c r="AS25" s="126">
        <f t="shared" si="6"/>
        <v>0</v>
      </c>
      <c r="AT25" s="113">
        <f t="shared" ref="AT25:AT40" si="7">C6</f>
        <v>0</v>
      </c>
      <c r="AU25" s="182" t="e">
        <f>($C25/$C$42)*(K6-L6)</f>
        <v>#DIV/0!</v>
      </c>
      <c r="AV25" s="183" t="e">
        <f>($C25/$C$42)*L6</f>
        <v>#DIV/0!</v>
      </c>
    </row>
    <row r="26" spans="1:48" x14ac:dyDescent="0.25">
      <c r="A26" s="124" t="str">
        <f>A7</f>
        <v>x</v>
      </c>
      <c r="B26" s="90">
        <f t="shared" si="0"/>
        <v>0</v>
      </c>
      <c r="C26" s="127"/>
      <c r="D26" s="111" t="e">
        <f t="shared" si="1"/>
        <v>#DIV/0!</v>
      </c>
      <c r="E26" s="90">
        <f t="shared" si="2"/>
        <v>0</v>
      </c>
      <c r="F26" s="109">
        <f t="shared" si="3"/>
        <v>0</v>
      </c>
      <c r="G26" s="109">
        <f t="shared" si="3"/>
        <v>0</v>
      </c>
      <c r="H26" s="109">
        <f t="shared" si="3"/>
        <v>0</v>
      </c>
      <c r="I26" s="109">
        <f t="shared" si="3"/>
        <v>0</v>
      </c>
      <c r="J26" s="109">
        <f t="shared" si="3"/>
        <v>0</v>
      </c>
      <c r="K26" s="109">
        <f t="shared" ref="K26:K40" si="8">IF(AT26="S",((((I7*K7*100)*0.9465)+4.5798)/100)*E26,IF(AT26="F",I7*K7*E26,0))</f>
        <v>0</v>
      </c>
      <c r="L26" s="109">
        <f t="shared" ref="L26:L40" si="9">IF(AT26="S",((((I7*L7*100)*1.0083)+0.4502)/100)*E26,IF(AT26="F",I7*L7*E26,0))</f>
        <v>0</v>
      </c>
      <c r="M26" s="109">
        <f t="shared" si="4"/>
        <v>0</v>
      </c>
      <c r="N26" s="109">
        <f t="shared" si="4"/>
        <v>0</v>
      </c>
      <c r="O26" s="90">
        <f t="shared" si="4"/>
        <v>0</v>
      </c>
      <c r="P26" s="109">
        <f t="shared" si="4"/>
        <v>0</v>
      </c>
      <c r="Q26" s="109">
        <f t="shared" si="4"/>
        <v>0</v>
      </c>
      <c r="R26" s="109">
        <f t="shared" si="4"/>
        <v>0</v>
      </c>
      <c r="S26" s="109">
        <f t="shared" si="4"/>
        <v>0</v>
      </c>
      <c r="T26" s="109">
        <f t="shared" si="4"/>
        <v>0</v>
      </c>
      <c r="U26" s="109">
        <f t="shared" si="4"/>
        <v>0</v>
      </c>
      <c r="V26" s="109" t="e">
        <f t="shared" si="5"/>
        <v>#DIV/0!</v>
      </c>
      <c r="W26" s="109">
        <f t="shared" si="6"/>
        <v>0</v>
      </c>
      <c r="X26" s="109">
        <f t="shared" si="6"/>
        <v>0</v>
      </c>
      <c r="Y26" s="109">
        <f t="shared" si="6"/>
        <v>0</v>
      </c>
      <c r="Z26" s="109">
        <f t="shared" si="6"/>
        <v>0</v>
      </c>
      <c r="AA26" s="109">
        <f t="shared" si="6"/>
        <v>0</v>
      </c>
      <c r="AB26" s="109">
        <f t="shared" si="6"/>
        <v>0</v>
      </c>
      <c r="AC26" s="109">
        <f t="shared" si="6"/>
        <v>0</v>
      </c>
      <c r="AD26" s="109">
        <f t="shared" si="6"/>
        <v>0</v>
      </c>
      <c r="AE26" s="109">
        <f t="shared" si="6"/>
        <v>0</v>
      </c>
      <c r="AF26" s="126">
        <f t="shared" si="6"/>
        <v>0</v>
      </c>
      <c r="AG26" s="126">
        <f t="shared" si="6"/>
        <v>0</v>
      </c>
      <c r="AH26" s="126">
        <f t="shared" si="6"/>
        <v>0</v>
      </c>
      <c r="AI26" s="126">
        <f t="shared" si="6"/>
        <v>0</v>
      </c>
      <c r="AJ26" s="126">
        <f t="shared" si="6"/>
        <v>0</v>
      </c>
      <c r="AK26" s="126">
        <f t="shared" si="6"/>
        <v>0</v>
      </c>
      <c r="AL26" s="126">
        <f t="shared" si="6"/>
        <v>0</v>
      </c>
      <c r="AM26" s="126">
        <f t="shared" si="6"/>
        <v>0</v>
      </c>
      <c r="AN26" s="126">
        <f t="shared" si="6"/>
        <v>0</v>
      </c>
      <c r="AO26" s="126">
        <f t="shared" si="6"/>
        <v>0</v>
      </c>
      <c r="AP26" s="126">
        <f t="shared" si="6"/>
        <v>0</v>
      </c>
      <c r="AQ26" s="126">
        <f t="shared" si="6"/>
        <v>0</v>
      </c>
      <c r="AR26" s="126">
        <f t="shared" si="6"/>
        <v>0</v>
      </c>
      <c r="AS26" s="126">
        <f t="shared" si="6"/>
        <v>0</v>
      </c>
      <c r="AT26" s="113">
        <f t="shared" si="7"/>
        <v>0</v>
      </c>
      <c r="AU26" s="182" t="e">
        <f t="shared" ref="AU26:AU40" si="10">($C26/$C$42)*(K7-L7)</f>
        <v>#DIV/0!</v>
      </c>
      <c r="AV26" s="183" t="e">
        <f t="shared" ref="AV26:AV40" si="11">($C26/$C$42)*L7</f>
        <v>#DIV/0!</v>
      </c>
    </row>
    <row r="27" spans="1:48" x14ac:dyDescent="0.25">
      <c r="A27" s="124" t="str">
        <f>A8</f>
        <v>x</v>
      </c>
      <c r="B27" s="90">
        <f t="shared" si="0"/>
        <v>0</v>
      </c>
      <c r="C27" s="127"/>
      <c r="D27" s="111" t="e">
        <f t="shared" si="1"/>
        <v>#DIV/0!</v>
      </c>
      <c r="E27" s="90">
        <f t="shared" si="2"/>
        <v>0</v>
      </c>
      <c r="F27" s="109">
        <f t="shared" si="3"/>
        <v>0</v>
      </c>
      <c r="G27" s="109">
        <f t="shared" si="3"/>
        <v>0</v>
      </c>
      <c r="H27" s="109">
        <f t="shared" si="3"/>
        <v>0</v>
      </c>
      <c r="I27" s="109">
        <f t="shared" si="3"/>
        <v>0</v>
      </c>
      <c r="J27" s="109">
        <f t="shared" si="3"/>
        <v>0</v>
      </c>
      <c r="K27" s="109">
        <f t="shared" si="8"/>
        <v>0</v>
      </c>
      <c r="L27" s="109">
        <f t="shared" si="9"/>
        <v>0</v>
      </c>
      <c r="M27" s="109">
        <f t="shared" si="4"/>
        <v>0</v>
      </c>
      <c r="N27" s="109">
        <f t="shared" si="4"/>
        <v>0</v>
      </c>
      <c r="O27" s="90">
        <f t="shared" si="4"/>
        <v>0</v>
      </c>
      <c r="P27" s="109">
        <f t="shared" si="4"/>
        <v>0</v>
      </c>
      <c r="Q27" s="109">
        <f t="shared" si="4"/>
        <v>0</v>
      </c>
      <c r="R27" s="109">
        <f t="shared" si="4"/>
        <v>0</v>
      </c>
      <c r="S27" s="109">
        <f t="shared" si="4"/>
        <v>0</v>
      </c>
      <c r="T27" s="109">
        <f t="shared" si="4"/>
        <v>0</v>
      </c>
      <c r="U27" s="109">
        <f t="shared" si="4"/>
        <v>0</v>
      </c>
      <c r="V27" s="109" t="e">
        <f t="shared" si="5"/>
        <v>#DIV/0!</v>
      </c>
      <c r="W27" s="109">
        <f t="shared" si="6"/>
        <v>0</v>
      </c>
      <c r="X27" s="109">
        <f t="shared" si="6"/>
        <v>0</v>
      </c>
      <c r="Y27" s="109">
        <f t="shared" si="6"/>
        <v>0</v>
      </c>
      <c r="Z27" s="109">
        <f t="shared" si="6"/>
        <v>0</v>
      </c>
      <c r="AA27" s="109">
        <f t="shared" si="6"/>
        <v>0</v>
      </c>
      <c r="AB27" s="109">
        <f t="shared" si="6"/>
        <v>0</v>
      </c>
      <c r="AC27" s="109">
        <f t="shared" si="6"/>
        <v>0</v>
      </c>
      <c r="AD27" s="109">
        <f t="shared" si="6"/>
        <v>0</v>
      </c>
      <c r="AE27" s="109">
        <f t="shared" si="6"/>
        <v>0</v>
      </c>
      <c r="AF27" s="126">
        <f t="shared" si="6"/>
        <v>0</v>
      </c>
      <c r="AG27" s="126">
        <f t="shared" si="6"/>
        <v>0</v>
      </c>
      <c r="AH27" s="126">
        <f t="shared" si="6"/>
        <v>0</v>
      </c>
      <c r="AI27" s="126">
        <f t="shared" si="6"/>
        <v>0</v>
      </c>
      <c r="AJ27" s="126">
        <f t="shared" si="6"/>
        <v>0</v>
      </c>
      <c r="AK27" s="126">
        <f t="shared" si="6"/>
        <v>0</v>
      </c>
      <c r="AL27" s="126">
        <f t="shared" si="6"/>
        <v>0</v>
      </c>
      <c r="AM27" s="126">
        <f t="shared" si="6"/>
        <v>0</v>
      </c>
      <c r="AN27" s="126">
        <f t="shared" si="6"/>
        <v>0</v>
      </c>
      <c r="AO27" s="126">
        <f t="shared" si="6"/>
        <v>0</v>
      </c>
      <c r="AP27" s="126">
        <f t="shared" si="6"/>
        <v>0</v>
      </c>
      <c r="AQ27" s="126">
        <f t="shared" si="6"/>
        <v>0</v>
      </c>
      <c r="AR27" s="126">
        <f t="shared" si="6"/>
        <v>0</v>
      </c>
      <c r="AS27" s="126">
        <f t="shared" si="6"/>
        <v>0</v>
      </c>
      <c r="AT27" s="113">
        <f t="shared" si="7"/>
        <v>0</v>
      </c>
      <c r="AU27" s="182" t="e">
        <f t="shared" si="10"/>
        <v>#DIV/0!</v>
      </c>
      <c r="AV27" s="183" t="e">
        <f t="shared" si="11"/>
        <v>#DIV/0!</v>
      </c>
    </row>
    <row r="28" spans="1:48" x14ac:dyDescent="0.25">
      <c r="A28" s="124" t="str">
        <f>A9</f>
        <v>x</v>
      </c>
      <c r="B28" s="90">
        <f t="shared" si="0"/>
        <v>0</v>
      </c>
      <c r="C28" s="127"/>
      <c r="D28" s="111" t="e">
        <f t="shared" si="1"/>
        <v>#DIV/0!</v>
      </c>
      <c r="E28" s="90">
        <f t="shared" si="2"/>
        <v>0</v>
      </c>
      <c r="F28" s="109">
        <f t="shared" si="3"/>
        <v>0</v>
      </c>
      <c r="G28" s="109">
        <f t="shared" si="3"/>
        <v>0</v>
      </c>
      <c r="H28" s="109">
        <f t="shared" si="3"/>
        <v>0</v>
      </c>
      <c r="I28" s="109">
        <f t="shared" si="3"/>
        <v>0</v>
      </c>
      <c r="J28" s="109">
        <f t="shared" si="3"/>
        <v>0</v>
      </c>
      <c r="K28" s="109">
        <f t="shared" si="8"/>
        <v>0</v>
      </c>
      <c r="L28" s="109">
        <f t="shared" si="9"/>
        <v>0</v>
      </c>
      <c r="M28" s="109">
        <f t="shared" si="4"/>
        <v>0</v>
      </c>
      <c r="N28" s="109">
        <f t="shared" si="4"/>
        <v>0</v>
      </c>
      <c r="O28" s="90">
        <f t="shared" si="4"/>
        <v>0</v>
      </c>
      <c r="P28" s="109">
        <f t="shared" si="4"/>
        <v>0</v>
      </c>
      <c r="Q28" s="109">
        <f t="shared" si="4"/>
        <v>0</v>
      </c>
      <c r="R28" s="109">
        <f t="shared" si="4"/>
        <v>0</v>
      </c>
      <c r="S28" s="109">
        <f t="shared" si="4"/>
        <v>0</v>
      </c>
      <c r="T28" s="109">
        <f t="shared" si="4"/>
        <v>0</v>
      </c>
      <c r="U28" s="109">
        <f t="shared" si="4"/>
        <v>0</v>
      </c>
      <c r="V28" s="109" t="e">
        <f t="shared" si="5"/>
        <v>#DIV/0!</v>
      </c>
      <c r="W28" s="109">
        <f t="shared" si="6"/>
        <v>0</v>
      </c>
      <c r="X28" s="109">
        <f t="shared" si="6"/>
        <v>0</v>
      </c>
      <c r="Y28" s="109">
        <f t="shared" si="6"/>
        <v>0</v>
      </c>
      <c r="Z28" s="109">
        <f t="shared" si="6"/>
        <v>0</v>
      </c>
      <c r="AA28" s="109">
        <f t="shared" si="6"/>
        <v>0</v>
      </c>
      <c r="AB28" s="109">
        <f t="shared" si="6"/>
        <v>0</v>
      </c>
      <c r="AC28" s="109">
        <f t="shared" si="6"/>
        <v>0</v>
      </c>
      <c r="AD28" s="109">
        <f t="shared" si="6"/>
        <v>0</v>
      </c>
      <c r="AE28" s="109">
        <f t="shared" si="6"/>
        <v>0</v>
      </c>
      <c r="AF28" s="126">
        <f t="shared" si="6"/>
        <v>0</v>
      </c>
      <c r="AG28" s="126">
        <f t="shared" si="6"/>
        <v>0</v>
      </c>
      <c r="AH28" s="126">
        <f t="shared" si="6"/>
        <v>0</v>
      </c>
      <c r="AI28" s="126">
        <f t="shared" si="6"/>
        <v>0</v>
      </c>
      <c r="AJ28" s="126">
        <f t="shared" si="6"/>
        <v>0</v>
      </c>
      <c r="AK28" s="126">
        <f t="shared" si="6"/>
        <v>0</v>
      </c>
      <c r="AL28" s="126">
        <f t="shared" si="6"/>
        <v>0</v>
      </c>
      <c r="AM28" s="126">
        <f t="shared" si="6"/>
        <v>0</v>
      </c>
      <c r="AN28" s="126">
        <f t="shared" si="6"/>
        <v>0</v>
      </c>
      <c r="AO28" s="126">
        <f t="shared" si="6"/>
        <v>0</v>
      </c>
      <c r="AP28" s="126">
        <f t="shared" si="6"/>
        <v>0</v>
      </c>
      <c r="AQ28" s="126">
        <f t="shared" si="6"/>
        <v>0</v>
      </c>
      <c r="AR28" s="126">
        <f t="shared" si="6"/>
        <v>0</v>
      </c>
      <c r="AS28" s="126">
        <f t="shared" si="6"/>
        <v>0</v>
      </c>
      <c r="AT28" s="113">
        <f t="shared" si="7"/>
        <v>0</v>
      </c>
      <c r="AU28" s="182" t="e">
        <f t="shared" si="10"/>
        <v>#DIV/0!</v>
      </c>
      <c r="AV28" s="183" t="e">
        <f t="shared" si="11"/>
        <v>#DIV/0!</v>
      </c>
    </row>
    <row r="29" spans="1:48" x14ac:dyDescent="0.25">
      <c r="A29" s="124" t="str">
        <f>A10</f>
        <v>x</v>
      </c>
      <c r="B29" s="90">
        <f t="shared" si="0"/>
        <v>0</v>
      </c>
      <c r="C29" s="127"/>
      <c r="D29" s="111" t="e">
        <f t="shared" si="1"/>
        <v>#DIV/0!</v>
      </c>
      <c r="E29" s="90">
        <f t="shared" si="2"/>
        <v>0</v>
      </c>
      <c r="F29" s="109">
        <f t="shared" si="3"/>
        <v>0</v>
      </c>
      <c r="G29" s="109">
        <f t="shared" si="3"/>
        <v>0</v>
      </c>
      <c r="H29" s="109">
        <f t="shared" si="3"/>
        <v>0</v>
      </c>
      <c r="I29" s="109">
        <f t="shared" si="3"/>
        <v>0</v>
      </c>
      <c r="J29" s="109">
        <f t="shared" si="3"/>
        <v>0</v>
      </c>
      <c r="K29" s="109">
        <f t="shared" si="8"/>
        <v>0</v>
      </c>
      <c r="L29" s="109">
        <f t="shared" si="9"/>
        <v>0</v>
      </c>
      <c r="M29" s="109">
        <f t="shared" si="4"/>
        <v>0</v>
      </c>
      <c r="N29" s="109">
        <f t="shared" si="4"/>
        <v>0</v>
      </c>
      <c r="O29" s="90">
        <f t="shared" si="4"/>
        <v>0</v>
      </c>
      <c r="P29" s="109">
        <f t="shared" si="4"/>
        <v>0</v>
      </c>
      <c r="Q29" s="109">
        <f t="shared" si="4"/>
        <v>0</v>
      </c>
      <c r="R29" s="109">
        <f t="shared" si="4"/>
        <v>0</v>
      </c>
      <c r="S29" s="109">
        <f t="shared" si="4"/>
        <v>0</v>
      </c>
      <c r="T29" s="109">
        <f t="shared" si="4"/>
        <v>0</v>
      </c>
      <c r="U29" s="109">
        <f t="shared" si="4"/>
        <v>0</v>
      </c>
      <c r="V29" s="109" t="e">
        <f t="shared" si="5"/>
        <v>#DIV/0!</v>
      </c>
      <c r="W29" s="109">
        <f t="shared" si="6"/>
        <v>0</v>
      </c>
      <c r="X29" s="109">
        <f t="shared" si="6"/>
        <v>0</v>
      </c>
      <c r="Y29" s="109">
        <f t="shared" si="6"/>
        <v>0</v>
      </c>
      <c r="Z29" s="109">
        <f t="shared" si="6"/>
        <v>0</v>
      </c>
      <c r="AA29" s="109">
        <f t="shared" si="6"/>
        <v>0</v>
      </c>
      <c r="AB29" s="109">
        <f t="shared" si="6"/>
        <v>0</v>
      </c>
      <c r="AC29" s="109">
        <f t="shared" si="6"/>
        <v>0</v>
      </c>
      <c r="AD29" s="109">
        <f t="shared" si="6"/>
        <v>0</v>
      </c>
      <c r="AE29" s="109">
        <f t="shared" si="6"/>
        <v>0</v>
      </c>
      <c r="AF29" s="126">
        <f t="shared" si="6"/>
        <v>0</v>
      </c>
      <c r="AG29" s="126">
        <f t="shared" si="6"/>
        <v>0</v>
      </c>
      <c r="AH29" s="126">
        <f t="shared" si="6"/>
        <v>0</v>
      </c>
      <c r="AI29" s="126">
        <f t="shared" si="6"/>
        <v>0</v>
      </c>
      <c r="AJ29" s="126">
        <f t="shared" si="6"/>
        <v>0</v>
      </c>
      <c r="AK29" s="126">
        <f t="shared" si="6"/>
        <v>0</v>
      </c>
      <c r="AL29" s="126">
        <f t="shared" si="6"/>
        <v>0</v>
      </c>
      <c r="AM29" s="126">
        <f t="shared" si="6"/>
        <v>0</v>
      </c>
      <c r="AN29" s="126">
        <f t="shared" si="6"/>
        <v>0</v>
      </c>
      <c r="AO29" s="126">
        <f t="shared" si="6"/>
        <v>0</v>
      </c>
      <c r="AP29" s="126">
        <f t="shared" si="6"/>
        <v>0</v>
      </c>
      <c r="AQ29" s="126">
        <f t="shared" si="6"/>
        <v>0</v>
      </c>
      <c r="AR29" s="126">
        <f t="shared" si="6"/>
        <v>0</v>
      </c>
      <c r="AS29" s="126">
        <f t="shared" si="6"/>
        <v>0</v>
      </c>
      <c r="AT29" s="113">
        <f t="shared" si="7"/>
        <v>0</v>
      </c>
      <c r="AU29" s="182" t="e">
        <f t="shared" si="10"/>
        <v>#DIV/0!</v>
      </c>
      <c r="AV29" s="183" t="e">
        <f t="shared" si="11"/>
        <v>#DIV/0!</v>
      </c>
    </row>
    <row r="30" spans="1:48" x14ac:dyDescent="0.25">
      <c r="A30" s="124" t="str">
        <f t="shared" ref="A30:A40" si="12">A11</f>
        <v>x</v>
      </c>
      <c r="B30" s="90">
        <f t="shared" si="0"/>
        <v>0</v>
      </c>
      <c r="C30" s="127"/>
      <c r="D30" s="111" t="e">
        <f t="shared" si="1"/>
        <v>#DIV/0!</v>
      </c>
      <c r="E30" s="90">
        <f t="shared" si="2"/>
        <v>0</v>
      </c>
      <c r="F30" s="109">
        <f t="shared" si="3"/>
        <v>0</v>
      </c>
      <c r="G30" s="109">
        <f t="shared" si="3"/>
        <v>0</v>
      </c>
      <c r="H30" s="109">
        <f t="shared" si="3"/>
        <v>0</v>
      </c>
      <c r="I30" s="109">
        <f t="shared" si="3"/>
        <v>0</v>
      </c>
      <c r="J30" s="109">
        <f t="shared" si="3"/>
        <v>0</v>
      </c>
      <c r="K30" s="109">
        <f t="shared" si="8"/>
        <v>0</v>
      </c>
      <c r="L30" s="109">
        <f t="shared" si="9"/>
        <v>0</v>
      </c>
      <c r="M30" s="109">
        <f t="shared" si="4"/>
        <v>0</v>
      </c>
      <c r="N30" s="109">
        <f t="shared" si="4"/>
        <v>0</v>
      </c>
      <c r="O30" s="90">
        <f t="shared" si="4"/>
        <v>0</v>
      </c>
      <c r="P30" s="109">
        <f t="shared" si="4"/>
        <v>0</v>
      </c>
      <c r="Q30" s="109">
        <f t="shared" si="4"/>
        <v>0</v>
      </c>
      <c r="R30" s="109">
        <f t="shared" si="4"/>
        <v>0</v>
      </c>
      <c r="S30" s="109">
        <f t="shared" si="4"/>
        <v>0</v>
      </c>
      <c r="T30" s="109">
        <f t="shared" si="4"/>
        <v>0</v>
      </c>
      <c r="U30" s="109">
        <f t="shared" si="4"/>
        <v>0</v>
      </c>
      <c r="V30" s="109" t="e">
        <f t="shared" si="5"/>
        <v>#DIV/0!</v>
      </c>
      <c r="W30" s="109">
        <f t="shared" si="6"/>
        <v>0</v>
      </c>
      <c r="X30" s="109">
        <f t="shared" si="6"/>
        <v>0</v>
      </c>
      <c r="Y30" s="109">
        <f t="shared" si="6"/>
        <v>0</v>
      </c>
      <c r="Z30" s="109">
        <f t="shared" si="6"/>
        <v>0</v>
      </c>
      <c r="AA30" s="109">
        <f t="shared" si="6"/>
        <v>0</v>
      </c>
      <c r="AB30" s="109">
        <f t="shared" si="6"/>
        <v>0</v>
      </c>
      <c r="AC30" s="109">
        <f t="shared" si="6"/>
        <v>0</v>
      </c>
      <c r="AD30" s="109">
        <f t="shared" si="6"/>
        <v>0</v>
      </c>
      <c r="AE30" s="109">
        <f t="shared" si="6"/>
        <v>0</v>
      </c>
      <c r="AF30" s="126">
        <f t="shared" si="6"/>
        <v>0</v>
      </c>
      <c r="AG30" s="126">
        <f t="shared" si="6"/>
        <v>0</v>
      </c>
      <c r="AH30" s="126">
        <f t="shared" si="6"/>
        <v>0</v>
      </c>
      <c r="AI30" s="126">
        <f t="shared" si="6"/>
        <v>0</v>
      </c>
      <c r="AJ30" s="126">
        <f t="shared" si="6"/>
        <v>0</v>
      </c>
      <c r="AK30" s="126">
        <f t="shared" si="6"/>
        <v>0</v>
      </c>
      <c r="AL30" s="126">
        <f t="shared" si="6"/>
        <v>0</v>
      </c>
      <c r="AM30" s="126">
        <f t="shared" si="6"/>
        <v>0</v>
      </c>
      <c r="AN30" s="126">
        <f t="shared" si="6"/>
        <v>0</v>
      </c>
      <c r="AO30" s="126">
        <f t="shared" si="6"/>
        <v>0</v>
      </c>
      <c r="AP30" s="126">
        <f t="shared" si="6"/>
        <v>0</v>
      </c>
      <c r="AQ30" s="126">
        <f t="shared" si="6"/>
        <v>0</v>
      </c>
      <c r="AR30" s="126">
        <f t="shared" si="6"/>
        <v>0</v>
      </c>
      <c r="AS30" s="126">
        <f t="shared" si="6"/>
        <v>0</v>
      </c>
      <c r="AT30" s="113">
        <f t="shared" si="7"/>
        <v>0</v>
      </c>
      <c r="AU30" s="182" t="e">
        <f t="shared" si="10"/>
        <v>#DIV/0!</v>
      </c>
      <c r="AV30" s="183" t="e">
        <f t="shared" si="11"/>
        <v>#DIV/0!</v>
      </c>
    </row>
    <row r="31" spans="1:48" x14ac:dyDescent="0.25">
      <c r="A31" s="124" t="str">
        <f t="shared" si="12"/>
        <v>x</v>
      </c>
      <c r="B31" s="90">
        <f t="shared" si="0"/>
        <v>0</v>
      </c>
      <c r="C31" s="127"/>
      <c r="D31" s="111" t="e">
        <f t="shared" si="1"/>
        <v>#DIV/0!</v>
      </c>
      <c r="E31" s="90">
        <f t="shared" si="2"/>
        <v>0</v>
      </c>
      <c r="F31" s="109">
        <f t="shared" si="3"/>
        <v>0</v>
      </c>
      <c r="G31" s="109">
        <f t="shared" si="3"/>
        <v>0</v>
      </c>
      <c r="H31" s="109">
        <f t="shared" si="3"/>
        <v>0</v>
      </c>
      <c r="I31" s="109">
        <f t="shared" si="3"/>
        <v>0</v>
      </c>
      <c r="J31" s="109">
        <f t="shared" si="3"/>
        <v>0</v>
      </c>
      <c r="K31" s="109">
        <f t="shared" si="8"/>
        <v>0</v>
      </c>
      <c r="L31" s="109">
        <f t="shared" si="9"/>
        <v>0</v>
      </c>
      <c r="M31" s="109">
        <f t="shared" si="4"/>
        <v>0</v>
      </c>
      <c r="N31" s="109">
        <f t="shared" si="4"/>
        <v>0</v>
      </c>
      <c r="O31" s="90">
        <f t="shared" si="4"/>
        <v>0</v>
      </c>
      <c r="P31" s="109">
        <f t="shared" si="4"/>
        <v>0</v>
      </c>
      <c r="Q31" s="109">
        <f t="shared" si="4"/>
        <v>0</v>
      </c>
      <c r="R31" s="109">
        <f t="shared" si="4"/>
        <v>0</v>
      </c>
      <c r="S31" s="109">
        <f t="shared" si="4"/>
        <v>0</v>
      </c>
      <c r="T31" s="109">
        <f t="shared" si="4"/>
        <v>0</v>
      </c>
      <c r="U31" s="109">
        <f t="shared" si="4"/>
        <v>0</v>
      </c>
      <c r="V31" s="109" t="e">
        <f t="shared" si="5"/>
        <v>#DIV/0!</v>
      </c>
      <c r="W31" s="109">
        <f t="shared" si="6"/>
        <v>0</v>
      </c>
      <c r="X31" s="109">
        <f t="shared" si="6"/>
        <v>0</v>
      </c>
      <c r="Y31" s="109">
        <f t="shared" si="6"/>
        <v>0</v>
      </c>
      <c r="Z31" s="109">
        <f t="shared" si="6"/>
        <v>0</v>
      </c>
      <c r="AA31" s="109">
        <f t="shared" si="6"/>
        <v>0</v>
      </c>
      <c r="AB31" s="109">
        <f t="shared" si="6"/>
        <v>0</v>
      </c>
      <c r="AC31" s="109">
        <f t="shared" si="6"/>
        <v>0</v>
      </c>
      <c r="AD31" s="109">
        <f t="shared" si="6"/>
        <v>0</v>
      </c>
      <c r="AE31" s="109">
        <f t="shared" si="6"/>
        <v>0</v>
      </c>
      <c r="AF31" s="126">
        <f t="shared" si="6"/>
        <v>0</v>
      </c>
      <c r="AG31" s="126">
        <f t="shared" si="6"/>
        <v>0</v>
      </c>
      <c r="AH31" s="126">
        <f t="shared" si="6"/>
        <v>0</v>
      </c>
      <c r="AI31" s="126">
        <f t="shared" si="6"/>
        <v>0</v>
      </c>
      <c r="AJ31" s="126">
        <f t="shared" si="6"/>
        <v>0</v>
      </c>
      <c r="AK31" s="126">
        <f t="shared" si="6"/>
        <v>0</v>
      </c>
      <c r="AL31" s="126">
        <f t="shared" si="6"/>
        <v>0</v>
      </c>
      <c r="AM31" s="126">
        <f t="shared" si="6"/>
        <v>0</v>
      </c>
      <c r="AN31" s="126">
        <f t="shared" si="6"/>
        <v>0</v>
      </c>
      <c r="AO31" s="126">
        <f t="shared" si="6"/>
        <v>0</v>
      </c>
      <c r="AP31" s="126">
        <f t="shared" si="6"/>
        <v>0</v>
      </c>
      <c r="AQ31" s="126">
        <f t="shared" si="6"/>
        <v>0</v>
      </c>
      <c r="AR31" s="126">
        <f t="shared" si="6"/>
        <v>0</v>
      </c>
      <c r="AS31" s="126">
        <f t="shared" si="6"/>
        <v>0</v>
      </c>
      <c r="AT31" s="113">
        <f t="shared" si="7"/>
        <v>0</v>
      </c>
      <c r="AU31" s="182" t="e">
        <f t="shared" si="10"/>
        <v>#DIV/0!</v>
      </c>
      <c r="AV31" s="183" t="e">
        <f t="shared" si="11"/>
        <v>#DIV/0!</v>
      </c>
    </row>
    <row r="32" spans="1:48" x14ac:dyDescent="0.25">
      <c r="A32" s="124" t="str">
        <f t="shared" si="12"/>
        <v>x</v>
      </c>
      <c r="B32" s="90">
        <f t="shared" si="0"/>
        <v>0</v>
      </c>
      <c r="C32" s="127"/>
      <c r="D32" s="111" t="e">
        <f t="shared" si="1"/>
        <v>#DIV/0!</v>
      </c>
      <c r="E32" s="90">
        <f t="shared" si="2"/>
        <v>0</v>
      </c>
      <c r="F32" s="109">
        <f t="shared" si="3"/>
        <v>0</v>
      </c>
      <c r="G32" s="109">
        <f t="shared" si="3"/>
        <v>0</v>
      </c>
      <c r="H32" s="109">
        <f t="shared" si="3"/>
        <v>0</v>
      </c>
      <c r="I32" s="109">
        <f t="shared" si="3"/>
        <v>0</v>
      </c>
      <c r="J32" s="109">
        <f t="shared" si="3"/>
        <v>0</v>
      </c>
      <c r="K32" s="109">
        <f t="shared" si="8"/>
        <v>0</v>
      </c>
      <c r="L32" s="109">
        <f t="shared" si="9"/>
        <v>0</v>
      </c>
      <c r="M32" s="109">
        <f t="shared" si="4"/>
        <v>0</v>
      </c>
      <c r="N32" s="109">
        <f t="shared" si="4"/>
        <v>0</v>
      </c>
      <c r="O32" s="90">
        <f t="shared" si="4"/>
        <v>0</v>
      </c>
      <c r="P32" s="109">
        <f t="shared" si="4"/>
        <v>0</v>
      </c>
      <c r="Q32" s="109">
        <f t="shared" si="4"/>
        <v>0</v>
      </c>
      <c r="R32" s="109">
        <f t="shared" si="4"/>
        <v>0</v>
      </c>
      <c r="S32" s="109">
        <f t="shared" si="4"/>
        <v>0</v>
      </c>
      <c r="T32" s="109">
        <f t="shared" si="4"/>
        <v>0</v>
      </c>
      <c r="U32" s="109">
        <f t="shared" si="4"/>
        <v>0</v>
      </c>
      <c r="V32" s="109" t="e">
        <f t="shared" si="5"/>
        <v>#DIV/0!</v>
      </c>
      <c r="W32" s="109">
        <f t="shared" si="6"/>
        <v>0</v>
      </c>
      <c r="X32" s="109">
        <f t="shared" si="6"/>
        <v>0</v>
      </c>
      <c r="Y32" s="109">
        <f t="shared" si="6"/>
        <v>0</v>
      </c>
      <c r="Z32" s="109">
        <f t="shared" si="6"/>
        <v>0</v>
      </c>
      <c r="AA32" s="109">
        <f t="shared" si="6"/>
        <v>0</v>
      </c>
      <c r="AB32" s="109">
        <f t="shared" si="6"/>
        <v>0</v>
      </c>
      <c r="AC32" s="109">
        <f t="shared" si="6"/>
        <v>0</v>
      </c>
      <c r="AD32" s="109">
        <f t="shared" si="6"/>
        <v>0</v>
      </c>
      <c r="AE32" s="109">
        <f t="shared" si="6"/>
        <v>0</v>
      </c>
      <c r="AF32" s="126">
        <f t="shared" si="6"/>
        <v>0</v>
      </c>
      <c r="AG32" s="126">
        <f t="shared" si="6"/>
        <v>0</v>
      </c>
      <c r="AH32" s="126">
        <f t="shared" si="6"/>
        <v>0</v>
      </c>
      <c r="AI32" s="126">
        <f t="shared" si="6"/>
        <v>0</v>
      </c>
      <c r="AJ32" s="126">
        <f t="shared" si="6"/>
        <v>0</v>
      </c>
      <c r="AK32" s="126">
        <f t="shared" si="6"/>
        <v>0</v>
      </c>
      <c r="AL32" s="126">
        <f t="shared" si="6"/>
        <v>0</v>
      </c>
      <c r="AM32" s="128">
        <f t="shared" si="6"/>
        <v>0</v>
      </c>
      <c r="AN32" s="128">
        <f t="shared" si="6"/>
        <v>0</v>
      </c>
      <c r="AO32" s="128">
        <f t="shared" si="6"/>
        <v>0</v>
      </c>
      <c r="AP32" s="126">
        <f t="shared" si="6"/>
        <v>0</v>
      </c>
      <c r="AQ32" s="126">
        <f t="shared" si="6"/>
        <v>0</v>
      </c>
      <c r="AR32" s="126">
        <f t="shared" si="6"/>
        <v>0</v>
      </c>
      <c r="AS32" s="126">
        <f t="shared" si="6"/>
        <v>0</v>
      </c>
      <c r="AT32" s="113">
        <f t="shared" si="7"/>
        <v>0</v>
      </c>
      <c r="AU32" s="182" t="e">
        <f t="shared" si="10"/>
        <v>#DIV/0!</v>
      </c>
      <c r="AV32" s="183" t="e">
        <f t="shared" si="11"/>
        <v>#DIV/0!</v>
      </c>
    </row>
    <row r="33" spans="1:48" x14ac:dyDescent="0.25">
      <c r="A33" s="124" t="str">
        <f t="shared" si="12"/>
        <v>x</v>
      </c>
      <c r="B33" s="90">
        <f t="shared" si="0"/>
        <v>0</v>
      </c>
      <c r="C33" s="127"/>
      <c r="D33" s="111" t="e">
        <f t="shared" si="1"/>
        <v>#DIV/0!</v>
      </c>
      <c r="E33" s="90">
        <f t="shared" si="2"/>
        <v>0</v>
      </c>
      <c r="F33" s="109">
        <f t="shared" si="3"/>
        <v>0</v>
      </c>
      <c r="G33" s="109">
        <f t="shared" si="3"/>
        <v>0</v>
      </c>
      <c r="H33" s="109">
        <f t="shared" si="3"/>
        <v>0</v>
      </c>
      <c r="I33" s="109">
        <f t="shared" si="3"/>
        <v>0</v>
      </c>
      <c r="J33" s="109">
        <f t="shared" si="3"/>
        <v>0</v>
      </c>
      <c r="K33" s="109">
        <f t="shared" si="8"/>
        <v>0</v>
      </c>
      <c r="L33" s="109">
        <f t="shared" si="9"/>
        <v>0</v>
      </c>
      <c r="M33" s="109">
        <f t="shared" si="3"/>
        <v>0</v>
      </c>
      <c r="N33" s="109">
        <f t="shared" si="3"/>
        <v>0</v>
      </c>
      <c r="O33" s="90">
        <f t="shared" si="3"/>
        <v>0</v>
      </c>
      <c r="P33" s="109">
        <f t="shared" si="3"/>
        <v>0</v>
      </c>
      <c r="Q33" s="109">
        <f t="shared" si="3"/>
        <v>0</v>
      </c>
      <c r="R33" s="109">
        <f t="shared" si="4"/>
        <v>0</v>
      </c>
      <c r="S33" s="109">
        <f t="shared" si="4"/>
        <v>0</v>
      </c>
      <c r="T33" s="109">
        <f t="shared" si="4"/>
        <v>0</v>
      </c>
      <c r="U33" s="109">
        <f t="shared" si="4"/>
        <v>0</v>
      </c>
      <c r="V33" s="109" t="e">
        <f t="shared" si="5"/>
        <v>#DIV/0!</v>
      </c>
      <c r="W33" s="109">
        <f t="shared" si="6"/>
        <v>0</v>
      </c>
      <c r="X33" s="109">
        <f t="shared" si="6"/>
        <v>0</v>
      </c>
      <c r="Y33" s="109">
        <f t="shared" si="6"/>
        <v>0</v>
      </c>
      <c r="Z33" s="109">
        <f t="shared" si="6"/>
        <v>0</v>
      </c>
      <c r="AA33" s="109">
        <f t="shared" si="6"/>
        <v>0</v>
      </c>
      <c r="AB33" s="109">
        <f t="shared" si="6"/>
        <v>0</v>
      </c>
      <c r="AC33" s="109">
        <f t="shared" si="6"/>
        <v>0</v>
      </c>
      <c r="AD33" s="109">
        <f t="shared" si="6"/>
        <v>0</v>
      </c>
      <c r="AE33" s="109">
        <f t="shared" si="6"/>
        <v>0</v>
      </c>
      <c r="AF33" s="126">
        <f t="shared" si="6"/>
        <v>0</v>
      </c>
      <c r="AG33" s="126">
        <f t="shared" si="6"/>
        <v>0</v>
      </c>
      <c r="AH33" s="126">
        <f t="shared" si="6"/>
        <v>0</v>
      </c>
      <c r="AI33" s="126">
        <f t="shared" si="6"/>
        <v>0</v>
      </c>
      <c r="AJ33" s="126">
        <f t="shared" si="6"/>
        <v>0</v>
      </c>
      <c r="AK33" s="126">
        <f t="shared" si="6"/>
        <v>0</v>
      </c>
      <c r="AL33" s="126">
        <f t="shared" si="6"/>
        <v>0</v>
      </c>
      <c r="AM33" s="126">
        <f t="shared" si="6"/>
        <v>0</v>
      </c>
      <c r="AN33" s="126">
        <f t="shared" si="6"/>
        <v>0</v>
      </c>
      <c r="AO33" s="126">
        <f t="shared" si="6"/>
        <v>0</v>
      </c>
      <c r="AP33" s="126">
        <f t="shared" si="6"/>
        <v>0</v>
      </c>
      <c r="AQ33" s="126">
        <f t="shared" si="6"/>
        <v>0</v>
      </c>
      <c r="AR33" s="126">
        <f t="shared" si="6"/>
        <v>0</v>
      </c>
      <c r="AS33" s="126">
        <f t="shared" si="6"/>
        <v>0</v>
      </c>
      <c r="AT33" s="113">
        <f t="shared" si="7"/>
        <v>0</v>
      </c>
      <c r="AU33" s="182" t="e">
        <f t="shared" si="10"/>
        <v>#DIV/0!</v>
      </c>
      <c r="AV33" s="183" t="e">
        <f t="shared" si="11"/>
        <v>#DIV/0!</v>
      </c>
    </row>
    <row r="34" spans="1:48" x14ac:dyDescent="0.25">
      <c r="A34" s="124" t="str">
        <f t="shared" si="12"/>
        <v>x</v>
      </c>
      <c r="B34" s="90">
        <f t="shared" si="0"/>
        <v>0</v>
      </c>
      <c r="C34" s="127"/>
      <c r="D34" s="111" t="e">
        <f t="shared" si="1"/>
        <v>#DIV/0!</v>
      </c>
      <c r="E34" s="90">
        <f t="shared" si="2"/>
        <v>0</v>
      </c>
      <c r="F34" s="109">
        <f t="shared" si="3"/>
        <v>0</v>
      </c>
      <c r="G34" s="109">
        <f t="shared" si="3"/>
        <v>0</v>
      </c>
      <c r="H34" s="109">
        <f t="shared" si="3"/>
        <v>0</v>
      </c>
      <c r="I34" s="109">
        <f t="shared" si="3"/>
        <v>0</v>
      </c>
      <c r="J34" s="109">
        <f t="shared" si="3"/>
        <v>0</v>
      </c>
      <c r="K34" s="109">
        <f t="shared" si="8"/>
        <v>0</v>
      </c>
      <c r="L34" s="109">
        <f t="shared" si="9"/>
        <v>0</v>
      </c>
      <c r="M34" s="109">
        <f t="shared" si="3"/>
        <v>0</v>
      </c>
      <c r="N34" s="109">
        <f t="shared" si="3"/>
        <v>0</v>
      </c>
      <c r="O34" s="90">
        <f t="shared" si="3"/>
        <v>0</v>
      </c>
      <c r="P34" s="109">
        <f t="shared" si="3"/>
        <v>0</v>
      </c>
      <c r="Q34" s="109">
        <f t="shared" si="3"/>
        <v>0</v>
      </c>
      <c r="R34" s="109">
        <f t="shared" si="4"/>
        <v>0</v>
      </c>
      <c r="S34" s="109">
        <f t="shared" si="4"/>
        <v>0</v>
      </c>
      <c r="T34" s="109">
        <f t="shared" si="4"/>
        <v>0</v>
      </c>
      <c r="U34" s="109">
        <f t="shared" si="4"/>
        <v>0</v>
      </c>
      <c r="V34" s="109" t="e">
        <f t="shared" si="5"/>
        <v>#DIV/0!</v>
      </c>
      <c r="W34" s="109">
        <f t="shared" si="6"/>
        <v>0</v>
      </c>
      <c r="X34" s="109">
        <f t="shared" si="6"/>
        <v>0</v>
      </c>
      <c r="Y34" s="109">
        <f t="shared" si="6"/>
        <v>0</v>
      </c>
      <c r="Z34" s="109">
        <f t="shared" si="6"/>
        <v>0</v>
      </c>
      <c r="AA34" s="109">
        <f t="shared" si="6"/>
        <v>0</v>
      </c>
      <c r="AB34" s="109">
        <f t="shared" si="6"/>
        <v>0</v>
      </c>
      <c r="AC34" s="109">
        <f t="shared" si="6"/>
        <v>0</v>
      </c>
      <c r="AD34" s="109">
        <f t="shared" si="6"/>
        <v>0</v>
      </c>
      <c r="AE34" s="109">
        <f t="shared" si="6"/>
        <v>0</v>
      </c>
      <c r="AF34" s="126">
        <f t="shared" si="6"/>
        <v>0</v>
      </c>
      <c r="AG34" s="126">
        <f t="shared" si="6"/>
        <v>0</v>
      </c>
      <c r="AH34" s="126">
        <f t="shared" si="6"/>
        <v>0</v>
      </c>
      <c r="AI34" s="126">
        <f t="shared" si="6"/>
        <v>0</v>
      </c>
      <c r="AJ34" s="126">
        <f t="shared" si="6"/>
        <v>0</v>
      </c>
      <c r="AK34" s="126">
        <f t="shared" si="6"/>
        <v>0</v>
      </c>
      <c r="AL34" s="126">
        <f t="shared" si="6"/>
        <v>0</v>
      </c>
      <c r="AM34" s="126">
        <f t="shared" si="6"/>
        <v>0</v>
      </c>
      <c r="AN34" s="126">
        <f t="shared" si="6"/>
        <v>0</v>
      </c>
      <c r="AO34" s="126">
        <f t="shared" si="6"/>
        <v>0</v>
      </c>
      <c r="AP34" s="126">
        <f t="shared" si="6"/>
        <v>0</v>
      </c>
      <c r="AQ34" s="126">
        <f t="shared" si="6"/>
        <v>0</v>
      </c>
      <c r="AR34" s="126">
        <f t="shared" si="6"/>
        <v>0</v>
      </c>
      <c r="AS34" s="126">
        <f t="shared" si="6"/>
        <v>0</v>
      </c>
      <c r="AT34" s="113">
        <f t="shared" si="7"/>
        <v>0</v>
      </c>
      <c r="AU34" s="182" t="e">
        <f t="shared" si="10"/>
        <v>#DIV/0!</v>
      </c>
      <c r="AV34" s="183" t="e">
        <f t="shared" si="11"/>
        <v>#DIV/0!</v>
      </c>
    </row>
    <row r="35" spans="1:48" x14ac:dyDescent="0.25">
      <c r="A35" s="124" t="str">
        <f t="shared" si="12"/>
        <v>x</v>
      </c>
      <c r="B35" s="90">
        <f t="shared" si="0"/>
        <v>0</v>
      </c>
      <c r="C35" s="127"/>
      <c r="D35" s="111" t="e">
        <f t="shared" si="1"/>
        <v>#DIV/0!</v>
      </c>
      <c r="E35" s="90">
        <f t="shared" si="2"/>
        <v>0</v>
      </c>
      <c r="F35" s="109">
        <f t="shared" si="3"/>
        <v>0</v>
      </c>
      <c r="G35" s="109">
        <f t="shared" si="3"/>
        <v>0</v>
      </c>
      <c r="H35" s="109">
        <f t="shared" si="3"/>
        <v>0</v>
      </c>
      <c r="I35" s="109">
        <f t="shared" si="3"/>
        <v>0</v>
      </c>
      <c r="J35" s="109">
        <f t="shared" si="3"/>
        <v>0</v>
      </c>
      <c r="K35" s="109">
        <f t="shared" si="8"/>
        <v>0</v>
      </c>
      <c r="L35" s="109">
        <f t="shared" si="9"/>
        <v>0</v>
      </c>
      <c r="M35" s="109">
        <f t="shared" si="3"/>
        <v>0</v>
      </c>
      <c r="N35" s="109">
        <f t="shared" si="3"/>
        <v>0</v>
      </c>
      <c r="O35" s="90">
        <f t="shared" si="3"/>
        <v>0</v>
      </c>
      <c r="P35" s="109">
        <f t="shared" si="3"/>
        <v>0</v>
      </c>
      <c r="Q35" s="109">
        <f t="shared" si="3"/>
        <v>0</v>
      </c>
      <c r="R35" s="109">
        <f t="shared" si="4"/>
        <v>0</v>
      </c>
      <c r="S35" s="109">
        <f t="shared" si="4"/>
        <v>0</v>
      </c>
      <c r="T35" s="109">
        <f t="shared" si="4"/>
        <v>0</v>
      </c>
      <c r="U35" s="109">
        <f t="shared" si="4"/>
        <v>0</v>
      </c>
      <c r="V35" s="109" t="e">
        <f t="shared" si="5"/>
        <v>#DIV/0!</v>
      </c>
      <c r="W35" s="109">
        <f t="shared" si="6"/>
        <v>0</v>
      </c>
      <c r="X35" s="109">
        <f t="shared" si="6"/>
        <v>0</v>
      </c>
      <c r="Y35" s="109">
        <f t="shared" si="6"/>
        <v>0</v>
      </c>
      <c r="Z35" s="109">
        <f t="shared" si="6"/>
        <v>0</v>
      </c>
      <c r="AA35" s="109">
        <f t="shared" si="6"/>
        <v>0</v>
      </c>
      <c r="AB35" s="109">
        <f t="shared" si="6"/>
        <v>0</v>
      </c>
      <c r="AC35" s="109">
        <f t="shared" si="6"/>
        <v>0</v>
      </c>
      <c r="AD35" s="109">
        <f t="shared" si="6"/>
        <v>0</v>
      </c>
      <c r="AE35" s="109">
        <f t="shared" si="6"/>
        <v>0</v>
      </c>
      <c r="AF35" s="126">
        <f t="shared" si="6"/>
        <v>0</v>
      </c>
      <c r="AG35" s="126">
        <f t="shared" si="6"/>
        <v>0</v>
      </c>
      <c r="AH35" s="126">
        <f t="shared" si="6"/>
        <v>0</v>
      </c>
      <c r="AI35" s="126">
        <f t="shared" si="6"/>
        <v>0</v>
      </c>
      <c r="AJ35" s="126">
        <f t="shared" si="6"/>
        <v>0</v>
      </c>
      <c r="AK35" s="126">
        <f t="shared" si="6"/>
        <v>0</v>
      </c>
      <c r="AL35" s="126">
        <f t="shared" si="6"/>
        <v>0</v>
      </c>
      <c r="AM35" s="126">
        <f t="shared" si="6"/>
        <v>0</v>
      </c>
      <c r="AN35" s="126">
        <f t="shared" si="6"/>
        <v>0</v>
      </c>
      <c r="AO35" s="126">
        <f t="shared" si="6"/>
        <v>0</v>
      </c>
      <c r="AP35" s="126">
        <f t="shared" si="6"/>
        <v>0</v>
      </c>
      <c r="AQ35" s="126">
        <f t="shared" si="6"/>
        <v>0</v>
      </c>
      <c r="AR35" s="126">
        <f t="shared" si="6"/>
        <v>0</v>
      </c>
      <c r="AS35" s="126">
        <f t="shared" si="6"/>
        <v>0</v>
      </c>
      <c r="AT35" s="113">
        <f t="shared" si="7"/>
        <v>0</v>
      </c>
      <c r="AU35" s="182" t="e">
        <f t="shared" si="10"/>
        <v>#DIV/0!</v>
      </c>
      <c r="AV35" s="183" t="e">
        <f t="shared" si="11"/>
        <v>#DIV/0!</v>
      </c>
    </row>
    <row r="36" spans="1:48" x14ac:dyDescent="0.25">
      <c r="A36" s="124" t="str">
        <f>A17</f>
        <v>x</v>
      </c>
      <c r="B36" s="90">
        <f t="shared" si="0"/>
        <v>0</v>
      </c>
      <c r="C36" s="127"/>
      <c r="D36" s="111" t="e">
        <f t="shared" si="1"/>
        <v>#DIV/0!</v>
      </c>
      <c r="E36" s="90">
        <f t="shared" si="2"/>
        <v>0</v>
      </c>
      <c r="F36" s="109">
        <f t="shared" si="3"/>
        <v>0</v>
      </c>
      <c r="G36" s="109">
        <f t="shared" si="3"/>
        <v>0</v>
      </c>
      <c r="H36" s="109">
        <f t="shared" si="3"/>
        <v>0</v>
      </c>
      <c r="I36" s="109">
        <f t="shared" si="3"/>
        <v>0</v>
      </c>
      <c r="J36" s="109">
        <f t="shared" si="3"/>
        <v>0</v>
      </c>
      <c r="K36" s="109">
        <f t="shared" si="8"/>
        <v>0</v>
      </c>
      <c r="L36" s="109">
        <f t="shared" si="9"/>
        <v>0</v>
      </c>
      <c r="M36" s="109">
        <f t="shared" si="3"/>
        <v>0</v>
      </c>
      <c r="N36" s="109">
        <f t="shared" si="3"/>
        <v>0</v>
      </c>
      <c r="O36" s="90">
        <f t="shared" si="3"/>
        <v>0</v>
      </c>
      <c r="P36" s="109">
        <f t="shared" si="3"/>
        <v>0</v>
      </c>
      <c r="Q36" s="109">
        <f t="shared" si="3"/>
        <v>0</v>
      </c>
      <c r="R36" s="109">
        <f t="shared" si="4"/>
        <v>0</v>
      </c>
      <c r="S36" s="109">
        <f t="shared" si="4"/>
        <v>0</v>
      </c>
      <c r="T36" s="109">
        <f t="shared" si="4"/>
        <v>0</v>
      </c>
      <c r="U36" s="109">
        <f t="shared" si="4"/>
        <v>0</v>
      </c>
      <c r="V36" s="109" t="e">
        <f t="shared" si="5"/>
        <v>#DIV/0!</v>
      </c>
      <c r="W36" s="109">
        <f t="shared" si="6"/>
        <v>0</v>
      </c>
      <c r="X36" s="109">
        <f t="shared" si="6"/>
        <v>0</v>
      </c>
      <c r="Y36" s="109">
        <f t="shared" ref="Y36:AS36" si="13">$E36*Y17</f>
        <v>0</v>
      </c>
      <c r="Z36" s="109">
        <f t="shared" si="13"/>
        <v>0</v>
      </c>
      <c r="AA36" s="109">
        <f t="shared" si="13"/>
        <v>0</v>
      </c>
      <c r="AB36" s="109">
        <f t="shared" si="13"/>
        <v>0</v>
      </c>
      <c r="AC36" s="109">
        <f t="shared" si="13"/>
        <v>0</v>
      </c>
      <c r="AD36" s="109">
        <f t="shared" si="13"/>
        <v>0</v>
      </c>
      <c r="AE36" s="109">
        <f t="shared" si="13"/>
        <v>0</v>
      </c>
      <c r="AF36" s="126">
        <f t="shared" si="13"/>
        <v>0</v>
      </c>
      <c r="AG36" s="126">
        <f t="shared" si="13"/>
        <v>0</v>
      </c>
      <c r="AH36" s="126">
        <f t="shared" si="13"/>
        <v>0</v>
      </c>
      <c r="AI36" s="126">
        <f t="shared" si="13"/>
        <v>0</v>
      </c>
      <c r="AJ36" s="126">
        <f t="shared" si="13"/>
        <v>0</v>
      </c>
      <c r="AK36" s="126">
        <f t="shared" si="13"/>
        <v>0</v>
      </c>
      <c r="AL36" s="126">
        <f t="shared" si="13"/>
        <v>0</v>
      </c>
      <c r="AM36" s="126">
        <f t="shared" si="13"/>
        <v>0</v>
      </c>
      <c r="AN36" s="126">
        <f t="shared" si="13"/>
        <v>0</v>
      </c>
      <c r="AO36" s="126">
        <f t="shared" si="13"/>
        <v>0</v>
      </c>
      <c r="AP36" s="126">
        <f t="shared" si="13"/>
        <v>0</v>
      </c>
      <c r="AQ36" s="126">
        <f t="shared" si="13"/>
        <v>0</v>
      </c>
      <c r="AR36" s="126">
        <f t="shared" si="13"/>
        <v>0</v>
      </c>
      <c r="AS36" s="126">
        <f t="shared" si="13"/>
        <v>0</v>
      </c>
      <c r="AT36" s="113">
        <f t="shared" si="7"/>
        <v>0</v>
      </c>
      <c r="AU36" s="182" t="e">
        <f t="shared" si="10"/>
        <v>#DIV/0!</v>
      </c>
      <c r="AV36" s="183" t="e">
        <f t="shared" si="11"/>
        <v>#DIV/0!</v>
      </c>
    </row>
    <row r="37" spans="1:48" x14ac:dyDescent="0.25">
      <c r="A37" s="124" t="str">
        <f t="shared" si="12"/>
        <v>x</v>
      </c>
      <c r="B37" s="90">
        <f t="shared" si="0"/>
        <v>0</v>
      </c>
      <c r="C37" s="127"/>
      <c r="D37" s="111" t="e">
        <f t="shared" si="1"/>
        <v>#DIV/0!</v>
      </c>
      <c r="E37" s="90">
        <f t="shared" si="2"/>
        <v>0</v>
      </c>
      <c r="F37" s="109">
        <f t="shared" si="3"/>
        <v>0</v>
      </c>
      <c r="G37" s="109">
        <f t="shared" si="3"/>
        <v>0</v>
      </c>
      <c r="H37" s="109">
        <f t="shared" si="3"/>
        <v>0</v>
      </c>
      <c r="I37" s="109">
        <f t="shared" si="3"/>
        <v>0</v>
      </c>
      <c r="J37" s="109">
        <f t="shared" si="3"/>
        <v>0</v>
      </c>
      <c r="K37" s="109">
        <f t="shared" si="8"/>
        <v>0</v>
      </c>
      <c r="L37" s="109">
        <f t="shared" si="9"/>
        <v>0</v>
      </c>
      <c r="M37" s="109">
        <f t="shared" si="3"/>
        <v>0</v>
      </c>
      <c r="N37" s="109">
        <f t="shared" si="3"/>
        <v>0</v>
      </c>
      <c r="O37" s="90">
        <f t="shared" si="3"/>
        <v>0</v>
      </c>
      <c r="P37" s="109">
        <f t="shared" si="3"/>
        <v>0</v>
      </c>
      <c r="Q37" s="109">
        <f t="shared" si="3"/>
        <v>0</v>
      </c>
      <c r="R37" s="109">
        <f t="shared" si="4"/>
        <v>0</v>
      </c>
      <c r="S37" s="109">
        <f t="shared" si="4"/>
        <v>0</v>
      </c>
      <c r="T37" s="109">
        <f t="shared" si="4"/>
        <v>0</v>
      </c>
      <c r="U37" s="109">
        <f t="shared" si="4"/>
        <v>0</v>
      </c>
      <c r="V37" s="109" t="e">
        <f t="shared" si="5"/>
        <v>#DIV/0!</v>
      </c>
      <c r="W37" s="109">
        <f t="shared" ref="W37:AS40" si="14">$E37*W18</f>
        <v>0</v>
      </c>
      <c r="X37" s="109">
        <f t="shared" si="14"/>
        <v>0</v>
      </c>
      <c r="Y37" s="109">
        <f t="shared" si="14"/>
        <v>0</v>
      </c>
      <c r="Z37" s="109">
        <f t="shared" si="14"/>
        <v>0</v>
      </c>
      <c r="AA37" s="109">
        <f t="shared" si="14"/>
        <v>0</v>
      </c>
      <c r="AB37" s="109">
        <f t="shared" si="14"/>
        <v>0</v>
      </c>
      <c r="AC37" s="109">
        <f t="shared" si="14"/>
        <v>0</v>
      </c>
      <c r="AD37" s="109">
        <f t="shared" si="14"/>
        <v>0</v>
      </c>
      <c r="AE37" s="109">
        <f t="shared" si="14"/>
        <v>0</v>
      </c>
      <c r="AF37" s="126">
        <f t="shared" si="14"/>
        <v>0</v>
      </c>
      <c r="AG37" s="126">
        <f t="shared" si="14"/>
        <v>0</v>
      </c>
      <c r="AH37" s="126">
        <f t="shared" si="14"/>
        <v>0</v>
      </c>
      <c r="AI37" s="126">
        <f t="shared" si="14"/>
        <v>0</v>
      </c>
      <c r="AJ37" s="126">
        <f t="shared" si="14"/>
        <v>0</v>
      </c>
      <c r="AK37" s="126">
        <f t="shared" si="14"/>
        <v>0</v>
      </c>
      <c r="AL37" s="126">
        <f t="shared" si="14"/>
        <v>0</v>
      </c>
      <c r="AM37" s="126">
        <f t="shared" si="14"/>
        <v>0</v>
      </c>
      <c r="AN37" s="126">
        <f t="shared" si="14"/>
        <v>0</v>
      </c>
      <c r="AO37" s="126">
        <f t="shared" si="14"/>
        <v>0</v>
      </c>
      <c r="AP37" s="126">
        <f t="shared" si="14"/>
        <v>0</v>
      </c>
      <c r="AQ37" s="126">
        <f t="shared" si="14"/>
        <v>0</v>
      </c>
      <c r="AR37" s="126">
        <f t="shared" si="14"/>
        <v>0</v>
      </c>
      <c r="AS37" s="126">
        <f t="shared" si="14"/>
        <v>0</v>
      </c>
      <c r="AT37" s="113">
        <f t="shared" si="7"/>
        <v>0</v>
      </c>
      <c r="AU37" s="182" t="e">
        <f t="shared" si="10"/>
        <v>#DIV/0!</v>
      </c>
      <c r="AV37" s="183" t="e">
        <f t="shared" si="11"/>
        <v>#DIV/0!</v>
      </c>
    </row>
    <row r="38" spans="1:48" x14ac:dyDescent="0.25">
      <c r="A38" s="124" t="str">
        <f t="shared" si="12"/>
        <v>x</v>
      </c>
      <c r="B38" s="90">
        <f t="shared" si="0"/>
        <v>0</v>
      </c>
      <c r="C38" s="127"/>
      <c r="D38" s="111" t="e">
        <f t="shared" si="1"/>
        <v>#DIV/0!</v>
      </c>
      <c r="E38" s="90">
        <f t="shared" si="2"/>
        <v>0</v>
      </c>
      <c r="F38" s="109">
        <f t="shared" si="3"/>
        <v>0</v>
      </c>
      <c r="G38" s="109">
        <f t="shared" si="3"/>
        <v>0</v>
      </c>
      <c r="H38" s="109">
        <f t="shared" si="3"/>
        <v>0</v>
      </c>
      <c r="I38" s="109">
        <f t="shared" si="3"/>
        <v>0</v>
      </c>
      <c r="J38" s="109">
        <f t="shared" si="3"/>
        <v>0</v>
      </c>
      <c r="K38" s="109">
        <f t="shared" si="8"/>
        <v>0</v>
      </c>
      <c r="L38" s="109">
        <f t="shared" si="9"/>
        <v>0</v>
      </c>
      <c r="M38" s="109">
        <f t="shared" si="3"/>
        <v>0</v>
      </c>
      <c r="N38" s="109">
        <f t="shared" si="3"/>
        <v>0</v>
      </c>
      <c r="O38" s="90">
        <f t="shared" si="3"/>
        <v>0</v>
      </c>
      <c r="P38" s="109">
        <f t="shared" si="3"/>
        <v>0</v>
      </c>
      <c r="Q38" s="109">
        <f t="shared" si="3"/>
        <v>0</v>
      </c>
      <c r="R38" s="109">
        <f t="shared" si="4"/>
        <v>0</v>
      </c>
      <c r="S38" s="109">
        <f t="shared" si="4"/>
        <v>0</v>
      </c>
      <c r="T38" s="109">
        <f t="shared" si="4"/>
        <v>0</v>
      </c>
      <c r="U38" s="109">
        <f t="shared" si="4"/>
        <v>0</v>
      </c>
      <c r="V38" s="109" t="e">
        <f t="shared" si="5"/>
        <v>#DIV/0!</v>
      </c>
      <c r="W38" s="109">
        <f t="shared" si="14"/>
        <v>0</v>
      </c>
      <c r="X38" s="109">
        <f t="shared" si="14"/>
        <v>0</v>
      </c>
      <c r="Y38" s="109">
        <f t="shared" si="14"/>
        <v>0</v>
      </c>
      <c r="Z38" s="109">
        <f t="shared" si="14"/>
        <v>0</v>
      </c>
      <c r="AA38" s="109">
        <f t="shared" si="14"/>
        <v>0</v>
      </c>
      <c r="AB38" s="109">
        <f t="shared" si="14"/>
        <v>0</v>
      </c>
      <c r="AC38" s="109">
        <f t="shared" si="14"/>
        <v>0</v>
      </c>
      <c r="AD38" s="109">
        <f t="shared" si="14"/>
        <v>0</v>
      </c>
      <c r="AE38" s="109">
        <f t="shared" si="14"/>
        <v>0</v>
      </c>
      <c r="AF38" s="126">
        <f t="shared" si="14"/>
        <v>0</v>
      </c>
      <c r="AG38" s="126">
        <f t="shared" si="14"/>
        <v>0</v>
      </c>
      <c r="AH38" s="126">
        <f t="shared" si="14"/>
        <v>0</v>
      </c>
      <c r="AI38" s="126">
        <f t="shared" si="14"/>
        <v>0</v>
      </c>
      <c r="AJ38" s="126">
        <f t="shared" si="14"/>
        <v>0</v>
      </c>
      <c r="AK38" s="126">
        <f t="shared" si="14"/>
        <v>0</v>
      </c>
      <c r="AL38" s="126">
        <f t="shared" si="14"/>
        <v>0</v>
      </c>
      <c r="AM38" s="126">
        <f t="shared" si="14"/>
        <v>0</v>
      </c>
      <c r="AN38" s="126">
        <f t="shared" si="14"/>
        <v>0</v>
      </c>
      <c r="AO38" s="126">
        <f t="shared" si="14"/>
        <v>0</v>
      </c>
      <c r="AP38" s="126">
        <f t="shared" si="14"/>
        <v>0</v>
      </c>
      <c r="AQ38" s="126">
        <f t="shared" si="14"/>
        <v>0</v>
      </c>
      <c r="AR38" s="126">
        <f t="shared" si="14"/>
        <v>0</v>
      </c>
      <c r="AS38" s="126">
        <f t="shared" si="14"/>
        <v>0</v>
      </c>
      <c r="AT38" s="113">
        <f t="shared" si="7"/>
        <v>0</v>
      </c>
      <c r="AU38" s="182" t="e">
        <f t="shared" si="10"/>
        <v>#DIV/0!</v>
      </c>
      <c r="AV38" s="183" t="e">
        <f t="shared" si="11"/>
        <v>#DIV/0!</v>
      </c>
    </row>
    <row r="39" spans="1:48" x14ac:dyDescent="0.25">
      <c r="A39" s="124" t="str">
        <f t="shared" si="12"/>
        <v>x</v>
      </c>
      <c r="B39" s="90">
        <f t="shared" si="0"/>
        <v>0</v>
      </c>
      <c r="C39" s="127"/>
      <c r="D39" s="111" t="e">
        <f t="shared" si="1"/>
        <v>#DIV/0!</v>
      </c>
      <c r="E39" s="90">
        <f t="shared" si="2"/>
        <v>0</v>
      </c>
      <c r="F39" s="109">
        <f t="shared" si="3"/>
        <v>0</v>
      </c>
      <c r="G39" s="109">
        <f t="shared" si="3"/>
        <v>0</v>
      </c>
      <c r="H39" s="109">
        <f t="shared" si="3"/>
        <v>0</v>
      </c>
      <c r="I39" s="109">
        <f t="shared" si="3"/>
        <v>0</v>
      </c>
      <c r="J39" s="109">
        <f t="shared" si="3"/>
        <v>0</v>
      </c>
      <c r="K39" s="109">
        <f t="shared" si="8"/>
        <v>0</v>
      </c>
      <c r="L39" s="109">
        <f t="shared" si="9"/>
        <v>0</v>
      </c>
      <c r="M39" s="109">
        <f t="shared" si="3"/>
        <v>0</v>
      </c>
      <c r="N39" s="109">
        <f t="shared" si="3"/>
        <v>0</v>
      </c>
      <c r="O39" s="90">
        <f t="shared" si="3"/>
        <v>0</v>
      </c>
      <c r="P39" s="109">
        <f t="shared" si="3"/>
        <v>0</v>
      </c>
      <c r="Q39" s="109">
        <f t="shared" si="3"/>
        <v>0</v>
      </c>
      <c r="R39" s="109">
        <f t="shared" si="4"/>
        <v>0</v>
      </c>
      <c r="S39" s="109">
        <f t="shared" si="4"/>
        <v>0</v>
      </c>
      <c r="T39" s="109">
        <f t="shared" si="4"/>
        <v>0</v>
      </c>
      <c r="U39" s="109">
        <f t="shared" si="4"/>
        <v>0</v>
      </c>
      <c r="V39" s="109" t="e">
        <f t="shared" si="5"/>
        <v>#DIV/0!</v>
      </c>
      <c r="W39" s="109">
        <f t="shared" si="14"/>
        <v>0</v>
      </c>
      <c r="X39" s="109">
        <f t="shared" si="14"/>
        <v>0</v>
      </c>
      <c r="Y39" s="109">
        <f t="shared" si="14"/>
        <v>0</v>
      </c>
      <c r="Z39" s="109">
        <f t="shared" si="14"/>
        <v>0</v>
      </c>
      <c r="AA39" s="109">
        <f t="shared" si="14"/>
        <v>0</v>
      </c>
      <c r="AB39" s="109">
        <f t="shared" si="14"/>
        <v>0</v>
      </c>
      <c r="AC39" s="109">
        <f t="shared" si="14"/>
        <v>0</v>
      </c>
      <c r="AD39" s="109">
        <f t="shared" si="14"/>
        <v>0</v>
      </c>
      <c r="AE39" s="109">
        <f t="shared" si="14"/>
        <v>0</v>
      </c>
      <c r="AF39" s="126">
        <f t="shared" si="14"/>
        <v>0</v>
      </c>
      <c r="AG39" s="126">
        <f t="shared" si="14"/>
        <v>0</v>
      </c>
      <c r="AH39" s="126">
        <f t="shared" si="14"/>
        <v>0</v>
      </c>
      <c r="AI39" s="126">
        <f t="shared" si="14"/>
        <v>0</v>
      </c>
      <c r="AJ39" s="126">
        <f t="shared" si="14"/>
        <v>0</v>
      </c>
      <c r="AK39" s="126">
        <f t="shared" si="14"/>
        <v>0</v>
      </c>
      <c r="AL39" s="126">
        <f t="shared" si="14"/>
        <v>0</v>
      </c>
      <c r="AM39" s="126">
        <f t="shared" si="14"/>
        <v>0</v>
      </c>
      <c r="AN39" s="126">
        <f t="shared" si="14"/>
        <v>0</v>
      </c>
      <c r="AO39" s="126">
        <f t="shared" si="14"/>
        <v>0</v>
      </c>
      <c r="AP39" s="126">
        <f t="shared" si="14"/>
        <v>0</v>
      </c>
      <c r="AQ39" s="126">
        <f t="shared" si="14"/>
        <v>0</v>
      </c>
      <c r="AR39" s="126">
        <f t="shared" si="14"/>
        <v>0</v>
      </c>
      <c r="AS39" s="126">
        <f t="shared" si="14"/>
        <v>0</v>
      </c>
      <c r="AT39" s="113">
        <f t="shared" si="7"/>
        <v>0</v>
      </c>
      <c r="AU39" s="182" t="e">
        <f t="shared" si="10"/>
        <v>#DIV/0!</v>
      </c>
      <c r="AV39" s="183" t="e">
        <f t="shared" si="11"/>
        <v>#DIV/0!</v>
      </c>
    </row>
    <row r="40" spans="1:48" ht="17.25" thickBot="1" x14ac:dyDescent="0.3">
      <c r="A40" s="129" t="str">
        <f t="shared" si="12"/>
        <v>x</v>
      </c>
      <c r="B40" s="121">
        <f t="shared" si="0"/>
        <v>0</v>
      </c>
      <c r="C40" s="130"/>
      <c r="D40" s="120" t="e">
        <f t="shared" si="1"/>
        <v>#DIV/0!</v>
      </c>
      <c r="E40" s="184">
        <f t="shared" si="2"/>
        <v>0</v>
      </c>
      <c r="F40" s="117">
        <f t="shared" si="3"/>
        <v>0</v>
      </c>
      <c r="G40" s="117">
        <f t="shared" si="3"/>
        <v>0</v>
      </c>
      <c r="H40" s="117">
        <f t="shared" si="3"/>
        <v>0</v>
      </c>
      <c r="I40" s="117">
        <f t="shared" si="3"/>
        <v>0</v>
      </c>
      <c r="J40" s="117">
        <f t="shared" si="3"/>
        <v>0</v>
      </c>
      <c r="K40" s="117">
        <f t="shared" si="8"/>
        <v>0</v>
      </c>
      <c r="L40" s="117">
        <f t="shared" si="9"/>
        <v>0</v>
      </c>
      <c r="M40" s="117">
        <f t="shared" si="3"/>
        <v>0</v>
      </c>
      <c r="N40" s="117">
        <f t="shared" si="3"/>
        <v>0</v>
      </c>
      <c r="O40" s="121">
        <f t="shared" si="3"/>
        <v>0</v>
      </c>
      <c r="P40" s="117">
        <f t="shared" si="3"/>
        <v>0</v>
      </c>
      <c r="Q40" s="117">
        <f t="shared" si="3"/>
        <v>0</v>
      </c>
      <c r="R40" s="117">
        <f t="shared" si="4"/>
        <v>0</v>
      </c>
      <c r="S40" s="117">
        <f t="shared" si="4"/>
        <v>0</v>
      </c>
      <c r="T40" s="117">
        <f t="shared" si="4"/>
        <v>0</v>
      </c>
      <c r="U40" s="117">
        <f t="shared" si="4"/>
        <v>0</v>
      </c>
      <c r="V40" s="117" t="e">
        <f t="shared" si="5"/>
        <v>#DIV/0!</v>
      </c>
      <c r="W40" s="117">
        <f t="shared" si="14"/>
        <v>0</v>
      </c>
      <c r="X40" s="117">
        <f t="shared" si="14"/>
        <v>0</v>
      </c>
      <c r="Y40" s="117">
        <f t="shared" si="14"/>
        <v>0</v>
      </c>
      <c r="Z40" s="117">
        <f t="shared" si="14"/>
        <v>0</v>
      </c>
      <c r="AA40" s="117">
        <f t="shared" si="14"/>
        <v>0</v>
      </c>
      <c r="AB40" s="117">
        <f t="shared" si="14"/>
        <v>0</v>
      </c>
      <c r="AC40" s="117">
        <f t="shared" si="14"/>
        <v>0</v>
      </c>
      <c r="AD40" s="117">
        <f t="shared" si="14"/>
        <v>0</v>
      </c>
      <c r="AE40" s="117">
        <f t="shared" si="14"/>
        <v>0</v>
      </c>
      <c r="AF40" s="131">
        <f t="shared" si="14"/>
        <v>0</v>
      </c>
      <c r="AG40" s="131">
        <f t="shared" si="14"/>
        <v>0</v>
      </c>
      <c r="AH40" s="131">
        <f t="shared" si="14"/>
        <v>0</v>
      </c>
      <c r="AI40" s="131">
        <f t="shared" si="14"/>
        <v>0</v>
      </c>
      <c r="AJ40" s="131">
        <f t="shared" si="14"/>
        <v>0</v>
      </c>
      <c r="AK40" s="131">
        <f t="shared" si="14"/>
        <v>0</v>
      </c>
      <c r="AL40" s="131">
        <f t="shared" si="14"/>
        <v>0</v>
      </c>
      <c r="AM40" s="131">
        <f t="shared" si="14"/>
        <v>0</v>
      </c>
      <c r="AN40" s="131">
        <f t="shared" si="14"/>
        <v>0</v>
      </c>
      <c r="AO40" s="131">
        <f t="shared" si="14"/>
        <v>0</v>
      </c>
      <c r="AP40" s="131">
        <f t="shared" si="14"/>
        <v>0</v>
      </c>
      <c r="AQ40" s="131">
        <f t="shared" si="14"/>
        <v>0</v>
      </c>
      <c r="AR40" s="131">
        <f t="shared" si="14"/>
        <v>0</v>
      </c>
      <c r="AS40" s="131">
        <f t="shared" si="14"/>
        <v>0</v>
      </c>
      <c r="AT40" s="113">
        <f t="shared" si="7"/>
        <v>0</v>
      </c>
      <c r="AU40" s="182" t="e">
        <f t="shared" si="10"/>
        <v>#DIV/0!</v>
      </c>
      <c r="AV40" s="183" t="e">
        <f t="shared" si="11"/>
        <v>#DIV/0!</v>
      </c>
    </row>
    <row r="41" spans="1:48" ht="17.25" thickTop="1" x14ac:dyDescent="0.25">
      <c r="B41" s="109"/>
      <c r="D41" s="111"/>
      <c r="E41" s="82"/>
      <c r="AF41" s="77"/>
      <c r="AG41" s="77"/>
      <c r="AH41" s="77"/>
      <c r="AI41" s="77"/>
    </row>
    <row r="42" spans="1:48" ht="17.25" thickBot="1" x14ac:dyDescent="0.3">
      <c r="A42" s="89" t="s">
        <v>32</v>
      </c>
      <c r="B42" s="77"/>
      <c r="C42" s="113">
        <f t="shared" ref="C42:AS42" si="15">SUM(C25:C40)</f>
        <v>0</v>
      </c>
      <c r="D42" s="111" t="e">
        <f>SUM(D25:D40)</f>
        <v>#DIV/0!</v>
      </c>
      <c r="E42" s="185" t="e">
        <f>E43/C42</f>
        <v>#DIV/0!</v>
      </c>
      <c r="F42" s="90">
        <f>SUM(F25:F40)</f>
        <v>0</v>
      </c>
      <c r="G42" s="90">
        <f>SUM(G25:G40)</f>
        <v>0</v>
      </c>
      <c r="H42" s="90">
        <f t="shared" si="15"/>
        <v>0</v>
      </c>
      <c r="I42" s="113">
        <f>SUM(I25:I40)</f>
        <v>0</v>
      </c>
      <c r="J42" s="113">
        <f t="shared" si="15"/>
        <v>0</v>
      </c>
      <c r="K42" s="113">
        <f t="shared" si="15"/>
        <v>0</v>
      </c>
      <c r="L42" s="113">
        <f t="shared" si="15"/>
        <v>0</v>
      </c>
      <c r="M42" s="113">
        <f t="shared" si="15"/>
        <v>0</v>
      </c>
      <c r="N42" s="113">
        <f t="shared" si="15"/>
        <v>0</v>
      </c>
      <c r="O42" s="113">
        <f>SUM(O25:O40)</f>
        <v>0</v>
      </c>
      <c r="P42" s="113">
        <f t="shared" si="15"/>
        <v>0</v>
      </c>
      <c r="Q42" s="113">
        <f t="shared" si="15"/>
        <v>0</v>
      </c>
      <c r="R42" s="109">
        <f t="shared" si="15"/>
        <v>0</v>
      </c>
      <c r="S42" s="113">
        <f t="shared" si="15"/>
        <v>0</v>
      </c>
      <c r="T42" s="113">
        <f t="shared" si="15"/>
        <v>0</v>
      </c>
      <c r="U42" s="113">
        <f t="shared" si="15"/>
        <v>0</v>
      </c>
      <c r="V42" s="113" t="e">
        <f t="shared" si="15"/>
        <v>#DIV/0!</v>
      </c>
      <c r="W42" s="109">
        <f t="shared" si="15"/>
        <v>0</v>
      </c>
      <c r="X42" s="109">
        <f t="shared" si="15"/>
        <v>0</v>
      </c>
      <c r="Y42" s="109">
        <f t="shared" si="15"/>
        <v>0</v>
      </c>
      <c r="Z42" s="109">
        <f t="shared" si="15"/>
        <v>0</v>
      </c>
      <c r="AA42" s="109">
        <f t="shared" si="15"/>
        <v>0</v>
      </c>
      <c r="AB42" s="109">
        <f t="shared" si="15"/>
        <v>0</v>
      </c>
      <c r="AC42" s="109">
        <f t="shared" si="15"/>
        <v>0</v>
      </c>
      <c r="AD42" s="109">
        <f t="shared" si="15"/>
        <v>0</v>
      </c>
      <c r="AE42" s="109">
        <f t="shared" si="15"/>
        <v>0</v>
      </c>
      <c r="AF42" s="113">
        <f t="shared" si="15"/>
        <v>0</v>
      </c>
      <c r="AG42" s="113">
        <f t="shared" si="15"/>
        <v>0</v>
      </c>
      <c r="AH42" s="113">
        <f>SUM(AH25:AH40)</f>
        <v>0</v>
      </c>
      <c r="AI42" s="113">
        <f>SUM(AI25:AI40)</f>
        <v>0</v>
      </c>
      <c r="AJ42" s="113">
        <f>SUM(AJ25:AJ40)</f>
        <v>0</v>
      </c>
      <c r="AK42" s="113">
        <f>SUM(AK25:AK40)</f>
        <v>0</v>
      </c>
      <c r="AL42" s="113">
        <f t="shared" si="15"/>
        <v>0</v>
      </c>
      <c r="AM42" s="115">
        <f>SUM(AM25:AM40)</f>
        <v>0</v>
      </c>
      <c r="AN42" s="115">
        <f t="shared" si="15"/>
        <v>0</v>
      </c>
      <c r="AO42" s="115">
        <f t="shared" si="15"/>
        <v>0</v>
      </c>
      <c r="AP42" s="113">
        <f t="shared" si="15"/>
        <v>0</v>
      </c>
      <c r="AQ42" s="113">
        <f t="shared" si="15"/>
        <v>0</v>
      </c>
      <c r="AR42" s="113">
        <f t="shared" si="15"/>
        <v>0</v>
      </c>
      <c r="AS42" s="113">
        <f t="shared" si="15"/>
        <v>0</v>
      </c>
    </row>
    <row r="43" spans="1:48" ht="18" thickTop="1" thickBot="1" x14ac:dyDescent="0.3">
      <c r="A43" s="133" t="s">
        <v>71</v>
      </c>
      <c r="B43" s="134"/>
      <c r="C43" s="135"/>
      <c r="D43" s="136"/>
      <c r="E43" s="137">
        <f>SUM(E25:E40)</f>
        <v>0</v>
      </c>
      <c r="F43" s="138" t="e">
        <f>F42/$E43</f>
        <v>#DIV/0!</v>
      </c>
      <c r="G43" s="138" t="e">
        <f>G42/$E43</f>
        <v>#DIV/0!</v>
      </c>
      <c r="H43" s="138" t="e">
        <f t="shared" ref="H43:AO43" si="16">H42/$E43</f>
        <v>#DIV/0!</v>
      </c>
      <c r="I43" s="139" t="e">
        <f t="shared" si="16"/>
        <v>#DIV/0!</v>
      </c>
      <c r="J43" s="139" t="e">
        <f t="shared" si="16"/>
        <v>#DIV/0!</v>
      </c>
      <c r="K43" s="139" t="e">
        <f t="shared" si="16"/>
        <v>#DIV/0!</v>
      </c>
      <c r="L43" s="139" t="e">
        <f t="shared" si="16"/>
        <v>#DIV/0!</v>
      </c>
      <c r="M43" s="139" t="e">
        <f t="shared" si="16"/>
        <v>#DIV/0!</v>
      </c>
      <c r="N43" s="139" t="e">
        <f t="shared" si="16"/>
        <v>#DIV/0!</v>
      </c>
      <c r="O43" s="140" t="e">
        <f t="shared" si="16"/>
        <v>#DIV/0!</v>
      </c>
      <c r="P43" s="139" t="e">
        <f t="shared" si="16"/>
        <v>#DIV/0!</v>
      </c>
      <c r="Q43" s="139" t="e">
        <f t="shared" si="16"/>
        <v>#DIV/0!</v>
      </c>
      <c r="R43" s="139" t="e">
        <f t="shared" si="16"/>
        <v>#DIV/0!</v>
      </c>
      <c r="S43" s="139" t="e">
        <f t="shared" si="16"/>
        <v>#DIV/0!</v>
      </c>
      <c r="T43" s="139" t="e">
        <f t="shared" si="16"/>
        <v>#DIV/0!</v>
      </c>
      <c r="U43" s="139" t="e">
        <f t="shared" si="16"/>
        <v>#DIV/0!</v>
      </c>
      <c r="V43" s="139" t="e">
        <f t="shared" si="16"/>
        <v>#DIV/0!</v>
      </c>
      <c r="W43" s="138" t="e">
        <f t="shared" si="16"/>
        <v>#DIV/0!</v>
      </c>
      <c r="X43" s="138" t="e">
        <f t="shared" si="16"/>
        <v>#DIV/0!</v>
      </c>
      <c r="Y43" s="138" t="e">
        <f t="shared" si="16"/>
        <v>#DIV/0!</v>
      </c>
      <c r="Z43" s="138" t="e">
        <f t="shared" si="16"/>
        <v>#DIV/0!</v>
      </c>
      <c r="AA43" s="138" t="e">
        <f t="shared" si="16"/>
        <v>#DIV/0!</v>
      </c>
      <c r="AB43" s="138" t="e">
        <f t="shared" si="16"/>
        <v>#DIV/0!</v>
      </c>
      <c r="AC43" s="138" t="e">
        <f t="shared" si="16"/>
        <v>#DIV/0!</v>
      </c>
      <c r="AD43" s="138" t="e">
        <f t="shared" si="16"/>
        <v>#DIV/0!</v>
      </c>
      <c r="AE43" s="138" t="e">
        <f t="shared" si="16"/>
        <v>#DIV/0!</v>
      </c>
      <c r="AF43" s="140" t="e">
        <f t="shared" si="16"/>
        <v>#DIV/0!</v>
      </c>
      <c r="AG43" s="137" t="e">
        <f t="shared" si="16"/>
        <v>#DIV/0!</v>
      </c>
      <c r="AH43" s="137" t="e">
        <f t="shared" si="16"/>
        <v>#DIV/0!</v>
      </c>
      <c r="AI43" s="137" t="e">
        <f t="shared" si="16"/>
        <v>#DIV/0!</v>
      </c>
      <c r="AJ43" s="140" t="e">
        <f t="shared" si="16"/>
        <v>#DIV/0!</v>
      </c>
      <c r="AK43" s="140" t="e">
        <f t="shared" si="16"/>
        <v>#DIV/0!</v>
      </c>
      <c r="AL43" s="137" t="e">
        <f t="shared" si="16"/>
        <v>#DIV/0!</v>
      </c>
      <c r="AM43" s="137" t="e">
        <f t="shared" si="16"/>
        <v>#DIV/0!</v>
      </c>
      <c r="AN43" s="137" t="e">
        <f t="shared" si="16"/>
        <v>#DIV/0!</v>
      </c>
      <c r="AO43" s="137" t="e">
        <f t="shared" si="16"/>
        <v>#DIV/0!</v>
      </c>
      <c r="AP43" s="141">
        <f>AP42</f>
        <v>0</v>
      </c>
      <c r="AQ43" s="141">
        <f t="shared" ref="AQ43:AS43" si="17">AQ42</f>
        <v>0</v>
      </c>
      <c r="AR43" s="141">
        <f t="shared" si="17"/>
        <v>0</v>
      </c>
      <c r="AS43" s="216">
        <f t="shared" si="17"/>
        <v>0</v>
      </c>
    </row>
    <row r="44" spans="1:48" s="87" customFormat="1" ht="6.75" customHeight="1" thickTop="1" thickBot="1" x14ac:dyDescent="0.3">
      <c r="A44" s="142"/>
      <c r="B44" s="109"/>
      <c r="C44" s="77"/>
      <c r="D44" s="77"/>
      <c r="E44" s="143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  <c r="AA44" s="143"/>
      <c r="AB44" s="143"/>
      <c r="AC44" s="143"/>
      <c r="AD44" s="143"/>
      <c r="AE44" s="143"/>
      <c r="AF44" s="143"/>
      <c r="AG44" s="143"/>
      <c r="AH44" s="143"/>
      <c r="AI44" s="143"/>
      <c r="AJ44" s="143"/>
      <c r="AK44" s="143"/>
      <c r="AL44" s="143"/>
      <c r="AM44" s="144"/>
      <c r="AN44" s="144"/>
      <c r="AO44" s="144"/>
      <c r="AP44" s="143"/>
      <c r="AQ44" s="143"/>
      <c r="AR44" s="143"/>
      <c r="AS44" s="143"/>
    </row>
    <row r="45" spans="1:48" s="85" customFormat="1" ht="18" thickTop="1" thickBot="1" x14ac:dyDescent="0.3">
      <c r="A45" s="145" t="s">
        <v>200</v>
      </c>
      <c r="B45" s="146"/>
      <c r="C45" s="147"/>
      <c r="D45" s="147"/>
      <c r="E45" s="148">
        <f>(3.7+(C2*5.7)+(0.305*((0.0929*G2)+(0.0547*H2)+(0.0395*I2))*F2)+0.022*D2+(-0.689-1.87*C2)*B2)*(1-(0.212+C2*0.136)*EXP(-0.053*E2))</f>
        <v>2.9156000000000004</v>
      </c>
      <c r="F45" s="149" t="s">
        <v>314</v>
      </c>
      <c r="G45" s="150" t="s">
        <v>249</v>
      </c>
      <c r="H45" s="149" t="s">
        <v>315</v>
      </c>
      <c r="I45" s="149"/>
      <c r="J45" s="149" t="s">
        <v>334</v>
      </c>
      <c r="K45" s="149" t="s">
        <v>316</v>
      </c>
      <c r="L45" s="149"/>
      <c r="M45" s="149" t="s">
        <v>242</v>
      </c>
      <c r="N45" s="149"/>
      <c r="O45" s="149"/>
      <c r="P45" s="149"/>
      <c r="Q45" s="149" t="s">
        <v>189</v>
      </c>
      <c r="R45" s="149" t="s">
        <v>313</v>
      </c>
      <c r="S45" s="149"/>
      <c r="T45" s="149" t="s">
        <v>318</v>
      </c>
      <c r="U45" s="149" t="s">
        <v>319</v>
      </c>
      <c r="V45" s="149">
        <v>0.15</v>
      </c>
      <c r="W45" s="150"/>
      <c r="X45" s="150"/>
      <c r="Y45" s="150" t="s">
        <v>320</v>
      </c>
      <c r="Z45" s="150" t="s">
        <v>194</v>
      </c>
      <c r="AA45" s="150" t="s">
        <v>321</v>
      </c>
      <c r="AB45" s="150" t="s">
        <v>195</v>
      </c>
      <c r="AC45" s="150" t="s">
        <v>192</v>
      </c>
      <c r="AD45" s="150">
        <v>2.2000000000000001E-3</v>
      </c>
      <c r="AE45" s="150" t="s">
        <v>285</v>
      </c>
      <c r="AF45" s="151">
        <v>0.2</v>
      </c>
      <c r="AG45" s="186" t="s">
        <v>322</v>
      </c>
      <c r="AH45" s="148" t="s">
        <v>323</v>
      </c>
      <c r="AI45" s="148" t="s">
        <v>324</v>
      </c>
      <c r="AJ45" s="151" t="s">
        <v>325</v>
      </c>
      <c r="AK45" s="151">
        <v>0.5</v>
      </c>
      <c r="AL45" s="148">
        <v>15</v>
      </c>
      <c r="AM45" s="152">
        <v>4500</v>
      </c>
      <c r="AN45" s="152">
        <v>2500</v>
      </c>
      <c r="AO45" s="152" t="s">
        <v>326</v>
      </c>
      <c r="AP45" s="148" t="s">
        <v>213</v>
      </c>
      <c r="AQ45" s="148" t="s">
        <v>327</v>
      </c>
      <c r="AR45" s="148">
        <v>5</v>
      </c>
      <c r="AS45" s="148" t="s">
        <v>280</v>
      </c>
    </row>
    <row r="46" spans="1:48" ht="18" thickTop="1" thickBot="1" x14ac:dyDescent="0.3">
      <c r="H46" s="77"/>
      <c r="J46" s="77"/>
      <c r="K46" s="77"/>
      <c r="L46" s="77"/>
      <c r="O46" s="77"/>
      <c r="P46" s="77"/>
      <c r="Q46" s="77"/>
      <c r="T46" s="77"/>
      <c r="U46" s="77"/>
      <c r="W46" s="85"/>
      <c r="AB46" s="85"/>
      <c r="AC46" s="85"/>
      <c r="AE46" s="85"/>
      <c r="AF46" s="98"/>
      <c r="AG46" s="98"/>
      <c r="AH46" s="98"/>
      <c r="AI46" s="98"/>
      <c r="AJ46" s="98"/>
      <c r="AK46" s="98"/>
      <c r="AL46" s="98"/>
      <c r="AM46" s="98"/>
      <c r="AN46" s="98"/>
      <c r="AO46" s="98"/>
      <c r="AR46" s="98"/>
      <c r="AS46" s="98"/>
      <c r="AT46" s="98"/>
      <c r="AU46" s="98"/>
    </row>
    <row r="47" spans="1:48" ht="18" thickTop="1" thickBot="1" x14ac:dyDescent="0.3">
      <c r="A47" s="187" t="s">
        <v>303</v>
      </c>
      <c r="B47" s="188"/>
      <c r="G47" s="77"/>
      <c r="H47" s="87"/>
      <c r="J47" s="85" t="s">
        <v>190</v>
      </c>
      <c r="Q47" s="77"/>
      <c r="V47" s="85"/>
      <c r="X47" s="85"/>
      <c r="AE47" s="85"/>
      <c r="AF47" s="85"/>
      <c r="AG47" s="85"/>
      <c r="AH47" s="85"/>
      <c r="AT47" s="98"/>
      <c r="AU47" s="98"/>
    </row>
    <row r="48" spans="1:48" ht="17.25" thickTop="1" x14ac:dyDescent="0.25">
      <c r="A48" s="75" t="s">
        <v>184</v>
      </c>
      <c r="B48" s="91">
        <f>SUM(B25:B40)</f>
        <v>0</v>
      </c>
      <c r="G48" s="77"/>
      <c r="H48" s="75" t="s">
        <v>174</v>
      </c>
      <c r="I48" s="161" t="e">
        <f>M42/D2</f>
        <v>#DIV/0!</v>
      </c>
      <c r="J48" s="85" t="s">
        <v>317</v>
      </c>
      <c r="Q48" s="77"/>
      <c r="X48" s="77"/>
      <c r="AA48" s="77"/>
      <c r="AE48" s="85"/>
      <c r="AF48" s="85"/>
      <c r="AG48" s="85"/>
      <c r="AH48" s="85"/>
    </row>
    <row r="49" spans="1:38" x14ac:dyDescent="0.25">
      <c r="A49" s="75" t="s">
        <v>106</v>
      </c>
      <c r="B49" s="91" t="e">
        <f>B48/F2</f>
        <v>#DIV/0!</v>
      </c>
      <c r="G49" s="77"/>
      <c r="H49" s="75" t="s">
        <v>197</v>
      </c>
      <c r="I49" s="161" t="e">
        <f>(SUMIF(AT$25:AT$40,"F",E$25:E$40)+SUMIF(AT$25:AT$40,"S",E$25:E$40))/E$43</f>
        <v>#DIV/0!</v>
      </c>
      <c r="J49" s="85" t="s">
        <v>198</v>
      </c>
      <c r="Q49" s="77"/>
      <c r="X49" s="77"/>
      <c r="Z49" s="77"/>
      <c r="AA49" s="77"/>
      <c r="AB49" s="77"/>
      <c r="AC49" s="77"/>
      <c r="AD49" s="77"/>
      <c r="AE49" s="77"/>
      <c r="AF49" s="77"/>
      <c r="AG49" s="77"/>
      <c r="AH49" s="77"/>
      <c r="AI49" s="77"/>
    </row>
    <row r="50" spans="1:38" x14ac:dyDescent="0.25">
      <c r="A50" s="75" t="s">
        <v>186</v>
      </c>
      <c r="B50" s="91" t="e">
        <f>B48/E43</f>
        <v>#DIV/0!</v>
      </c>
      <c r="F50" s="77"/>
      <c r="G50" s="77"/>
      <c r="H50" s="75" t="s">
        <v>187</v>
      </c>
      <c r="I50" s="189" t="e">
        <f>K43/V43</f>
        <v>#DIV/0!</v>
      </c>
      <c r="J50" s="85" t="s">
        <v>225</v>
      </c>
      <c r="Q50" s="77"/>
      <c r="Z50" s="85"/>
      <c r="AA50" s="85"/>
      <c r="AE50" s="85"/>
      <c r="AF50" s="85"/>
      <c r="AG50" s="85"/>
      <c r="AH50" s="85"/>
      <c r="AI50" s="85"/>
    </row>
    <row r="51" spans="1:38" x14ac:dyDescent="0.25">
      <c r="A51" s="75" t="s">
        <v>107</v>
      </c>
      <c r="B51" s="91">
        <f>(F2*B47)-B48</f>
        <v>0</v>
      </c>
      <c r="E51" s="77"/>
      <c r="F51" s="77"/>
      <c r="G51" s="77"/>
      <c r="H51" s="166" t="s">
        <v>245</v>
      </c>
      <c r="I51" s="161">
        <f>SUM(G72:G73)</f>
        <v>0</v>
      </c>
      <c r="J51" s="85" t="s">
        <v>246</v>
      </c>
      <c r="Q51" s="77"/>
      <c r="R51" s="85"/>
    </row>
    <row r="52" spans="1:38" x14ac:dyDescent="0.25">
      <c r="E52" s="77"/>
      <c r="F52" s="77"/>
      <c r="G52" s="77"/>
      <c r="H52" s="75" t="s">
        <v>193</v>
      </c>
      <c r="I52" s="159" t="e">
        <f>X42/W42</f>
        <v>#DIV/0!</v>
      </c>
      <c r="J52" s="85">
        <v>3</v>
      </c>
      <c r="Q52" s="77"/>
      <c r="V52" s="124"/>
    </row>
    <row r="53" spans="1:38" x14ac:dyDescent="0.25">
      <c r="C53" s="124"/>
      <c r="E53" s="77"/>
      <c r="F53" s="77"/>
      <c r="G53" s="77"/>
      <c r="H53" s="75" t="s">
        <v>52</v>
      </c>
      <c r="I53" s="159" t="e">
        <f>Y42/Z42</f>
        <v>#DIV/0!</v>
      </c>
      <c r="J53" s="163" t="s">
        <v>105</v>
      </c>
      <c r="Q53" s="124"/>
      <c r="R53" s="124"/>
      <c r="V53" s="124"/>
    </row>
    <row r="54" spans="1:38" x14ac:dyDescent="0.25">
      <c r="H54" s="190" t="s">
        <v>169</v>
      </c>
      <c r="I54" s="165" t="e">
        <f>(((AD43/23)+(AB43/39))-((AE43/35)+(AC43/32*2)))*1000000</f>
        <v>#DIV/0!</v>
      </c>
      <c r="J54" s="168" t="s">
        <v>199</v>
      </c>
      <c r="K54" s="124"/>
      <c r="L54" s="124"/>
      <c r="M54" s="124"/>
      <c r="P54" s="124"/>
      <c r="Q54" s="124"/>
      <c r="R54" s="124"/>
      <c r="V54" s="124"/>
    </row>
    <row r="55" spans="1:38" x14ac:dyDescent="0.25">
      <c r="H55" s="166" t="s">
        <v>239</v>
      </c>
      <c r="I55" s="161" t="e">
        <f>(2.365+(0.214*((SUMIF(AT25:AT40,"F",E25:E40)+SUMIF(AT25:AT40,"S",E25:E40))/D2*100))+(0.734*(SUMIF(AT25:AT40,"C",E25:E40)/D2*100)+(0.069*(SUMIF(AT25:AT40,"S",E25:E40)+SUMIF(AT25:AT40,"F",E25:E40)))))/100</f>
        <v>#DIV/0!</v>
      </c>
      <c r="J55" s="124"/>
      <c r="K55" s="124"/>
      <c r="L55" s="124"/>
      <c r="M55" s="124"/>
      <c r="P55" s="124"/>
      <c r="Q55" s="124"/>
      <c r="R55" s="124"/>
      <c r="V55" s="124"/>
    </row>
    <row r="56" spans="1:38" x14ac:dyDescent="0.25">
      <c r="H56" s="75" t="s">
        <v>240</v>
      </c>
      <c r="I56" s="161" t="e">
        <f>(1.169+(1.375*(SUMIF(AT25:AT40,"F",E25:E40)+SUMIF(AT25:AT40,"S",E25:E40))/D2*100)+(1.721*SUMIF(AT25:AT40,"C",E25:E40)/D2*100))/100</f>
        <v>#DIV/0!</v>
      </c>
      <c r="J56" s="124"/>
      <c r="K56" s="124"/>
      <c r="L56" s="124"/>
      <c r="M56" s="124"/>
      <c r="P56" s="124"/>
      <c r="Q56" s="124"/>
      <c r="R56" s="124"/>
      <c r="V56" s="124"/>
    </row>
    <row r="57" spans="1:38" x14ac:dyDescent="0.25">
      <c r="H57" s="167" t="s">
        <v>241</v>
      </c>
      <c r="I57" s="161" t="e">
        <f>(4.524+(0.223*(SUMIF(AT25:AT40,"F",E25:E40)+SUMIF(AT25:AT40,"S",E25:E40))/D2*100)+(2.046*SUMIF(AT25:AT40,"C",E25:E40)/D2*100)+(0.344*(SUMIF(AT25:AT40,"F",E25:E40)+SUMIF(AT25:AT40,"S",E25:E40))))/100</f>
        <v>#DIV/0!</v>
      </c>
      <c r="J57" s="124"/>
      <c r="K57" s="168"/>
      <c r="L57" s="168"/>
      <c r="M57" s="168"/>
      <c r="P57" s="168"/>
      <c r="Q57" s="168"/>
      <c r="R57" s="168"/>
      <c r="V57" s="168"/>
    </row>
    <row r="58" spans="1:38" x14ac:dyDescent="0.25">
      <c r="K58" s="124"/>
      <c r="L58" s="124"/>
      <c r="M58" s="124"/>
      <c r="P58" s="124"/>
      <c r="Q58" s="124"/>
      <c r="R58" s="124"/>
      <c r="V58" s="124"/>
    </row>
    <row r="59" spans="1:38" x14ac:dyDescent="0.25">
      <c r="G59" s="168"/>
      <c r="H59" s="168"/>
      <c r="I59" s="168"/>
      <c r="J59" s="169"/>
      <c r="K59" s="124"/>
      <c r="L59" s="124"/>
      <c r="M59" s="124"/>
      <c r="P59" s="124"/>
      <c r="R59" s="124"/>
      <c r="V59" s="124"/>
    </row>
    <row r="60" spans="1:38" x14ac:dyDescent="0.25">
      <c r="C60" s="85">
        <v>1</v>
      </c>
      <c r="D60" s="85">
        <v>2</v>
      </c>
      <c r="E60" s="85">
        <v>3</v>
      </c>
      <c r="F60" s="85">
        <v>4</v>
      </c>
      <c r="G60" s="85">
        <v>5</v>
      </c>
      <c r="H60" s="85">
        <v>6</v>
      </c>
      <c r="J60" s="168"/>
      <c r="K60" s="168"/>
      <c r="L60" s="168"/>
      <c r="M60" s="169"/>
      <c r="N60" s="170"/>
      <c r="O60" s="170"/>
      <c r="P60" s="170"/>
      <c r="S60" s="170"/>
      <c r="U60" s="124"/>
      <c r="Y60" s="170"/>
      <c r="AJ60" s="87"/>
      <c r="AK60" s="87"/>
      <c r="AL60" s="87"/>
    </row>
    <row r="61" spans="1:38" ht="17.25" thickBot="1" x14ac:dyDescent="0.3">
      <c r="C61" s="85" t="s">
        <v>30</v>
      </c>
      <c r="D61" s="85" t="s">
        <v>30</v>
      </c>
      <c r="E61" s="85" t="s">
        <v>30</v>
      </c>
      <c r="F61" s="85" t="s">
        <v>30</v>
      </c>
      <c r="G61" s="85" t="s">
        <v>30</v>
      </c>
      <c r="H61" s="85" t="s">
        <v>30</v>
      </c>
      <c r="J61" s="168"/>
      <c r="K61" s="168"/>
      <c r="L61" s="168"/>
      <c r="M61" s="169"/>
      <c r="N61" s="170"/>
      <c r="O61" s="170"/>
      <c r="P61" s="170"/>
      <c r="S61" s="170"/>
      <c r="U61" s="124"/>
      <c r="X61" s="170"/>
      <c r="Y61" s="170"/>
      <c r="AJ61" s="87"/>
      <c r="AK61" s="87"/>
      <c r="AL61" s="87"/>
    </row>
    <row r="62" spans="1:38" ht="17.25" thickTop="1" x14ac:dyDescent="0.25">
      <c r="B62" s="156" t="s">
        <v>201</v>
      </c>
      <c r="C62" s="191"/>
      <c r="D62" s="192"/>
      <c r="E62" s="192"/>
      <c r="F62" s="192"/>
      <c r="G62" s="192"/>
      <c r="H62" s="193"/>
      <c r="J62" s="168"/>
      <c r="K62" s="168"/>
      <c r="L62" s="168"/>
      <c r="M62" s="169"/>
      <c r="N62" s="170"/>
      <c r="O62" s="170"/>
      <c r="P62" s="170"/>
      <c r="S62" s="170"/>
      <c r="U62" s="124"/>
      <c r="X62" s="170"/>
      <c r="Y62" s="170"/>
      <c r="AJ62" s="87"/>
      <c r="AK62" s="87"/>
      <c r="AL62" s="87"/>
    </row>
    <row r="63" spans="1:38" x14ac:dyDescent="0.25">
      <c r="B63" s="156" t="s">
        <v>202</v>
      </c>
      <c r="C63" s="194"/>
      <c r="D63" s="195"/>
      <c r="E63" s="195"/>
      <c r="F63" s="195"/>
      <c r="G63" s="195"/>
      <c r="H63" s="196"/>
      <c r="J63" s="113"/>
      <c r="K63" s="90"/>
      <c r="L63" s="170"/>
      <c r="M63" s="169"/>
      <c r="N63" s="170"/>
      <c r="O63" s="170"/>
      <c r="P63" s="170"/>
      <c r="S63" s="170"/>
      <c r="T63" s="170"/>
      <c r="U63" s="124"/>
      <c r="V63" s="170"/>
      <c r="W63" s="170"/>
      <c r="X63" s="170"/>
      <c r="Y63" s="170"/>
      <c r="AJ63" s="87"/>
      <c r="AK63" s="87"/>
      <c r="AL63" s="87"/>
    </row>
    <row r="64" spans="1:38" ht="17.25" thickBot="1" x14ac:dyDescent="0.3">
      <c r="B64" s="156" t="s">
        <v>203</v>
      </c>
      <c r="C64" s="197"/>
      <c r="D64" s="198"/>
      <c r="E64" s="198"/>
      <c r="F64" s="198"/>
      <c r="G64" s="198"/>
      <c r="H64" s="199"/>
      <c r="J64" s="113"/>
      <c r="K64" s="90"/>
      <c r="L64" s="170"/>
      <c r="M64" s="169"/>
      <c r="N64" s="170"/>
      <c r="O64" s="170"/>
      <c r="P64" s="170"/>
      <c r="S64" s="170"/>
      <c r="T64" s="170"/>
      <c r="U64" s="124"/>
      <c r="V64" s="170"/>
      <c r="W64" s="170"/>
      <c r="X64" s="170"/>
      <c r="Y64" s="170"/>
      <c r="AJ64" s="87"/>
      <c r="AK64" s="87"/>
      <c r="AL64" s="87"/>
    </row>
    <row r="65" spans="1:38" ht="17.25" thickTop="1" x14ac:dyDescent="0.25">
      <c r="C65" s="85" t="s">
        <v>233</v>
      </c>
      <c r="D65" s="85" t="s">
        <v>233</v>
      </c>
      <c r="E65" s="85"/>
      <c r="F65" s="85"/>
      <c r="G65" s="85"/>
      <c r="H65" s="82" t="s">
        <v>233</v>
      </c>
      <c r="I65" s="85" t="s">
        <v>277</v>
      </c>
      <c r="J65" s="82" t="s">
        <v>278</v>
      </c>
      <c r="K65" s="90"/>
      <c r="L65" s="170"/>
      <c r="M65" s="171"/>
      <c r="N65" s="170"/>
      <c r="O65" s="170"/>
      <c r="P65" s="170"/>
      <c r="S65" s="170"/>
      <c r="T65" s="170"/>
      <c r="U65" s="124"/>
      <c r="V65" s="170"/>
      <c r="W65" s="170"/>
      <c r="X65" s="170"/>
      <c r="Y65" s="170"/>
      <c r="AJ65" s="87"/>
      <c r="AK65" s="87"/>
      <c r="AL65" s="87"/>
    </row>
    <row r="66" spans="1:38" x14ac:dyDescent="0.25">
      <c r="B66" s="156" t="s">
        <v>201</v>
      </c>
      <c r="C66" s="200" t="e">
        <f>C62/SUM(C$62:C$64)</f>
        <v>#DIV/0!</v>
      </c>
      <c r="D66" s="200" t="e">
        <f t="shared" ref="C66:D68" si="18">D62/SUM(D$62:D$64)</f>
        <v>#DIV/0!</v>
      </c>
      <c r="E66" s="200" t="e">
        <f>E62/SUM(E$62:E$64)</f>
        <v>#DIV/0!</v>
      </c>
      <c r="F66" s="200" t="e">
        <f t="shared" ref="F66:H67" si="19">F62/SUM(F$62:F$64)</f>
        <v>#DIV/0!</v>
      </c>
      <c r="G66" s="200" t="e">
        <f t="shared" si="19"/>
        <v>#DIV/0!</v>
      </c>
      <c r="H66" s="200" t="e">
        <f t="shared" si="19"/>
        <v>#DIV/0!</v>
      </c>
      <c r="I66" s="201" t="e">
        <f>STDEV(C66:H66)/AVERAGE(C66:H66)</f>
        <v>#DIV/0!</v>
      </c>
      <c r="J66" s="82" t="s">
        <v>300</v>
      </c>
      <c r="K66" s="90"/>
      <c r="L66" s="170"/>
      <c r="M66" s="172"/>
      <c r="N66" s="170"/>
      <c r="O66" s="170"/>
      <c r="P66" s="170"/>
      <c r="S66" s="170"/>
      <c r="T66" s="170"/>
      <c r="U66" s="170"/>
      <c r="V66" s="170"/>
      <c r="W66" s="170"/>
      <c r="X66" s="170"/>
      <c r="Y66" s="170"/>
      <c r="AJ66" s="87"/>
      <c r="AK66" s="87"/>
      <c r="AL66" s="87"/>
    </row>
    <row r="67" spans="1:38" x14ac:dyDescent="0.25">
      <c r="B67" s="156" t="s">
        <v>202</v>
      </c>
      <c r="C67" s="200" t="e">
        <f>C63/SUM(C$62:C$64)</f>
        <v>#DIV/0!</v>
      </c>
      <c r="D67" s="200" t="e">
        <f t="shared" si="18"/>
        <v>#DIV/0!</v>
      </c>
      <c r="E67" s="200" t="e">
        <f>E63/SUM(E$62:E$64)</f>
        <v>#DIV/0!</v>
      </c>
      <c r="F67" s="200" t="e">
        <f t="shared" si="19"/>
        <v>#DIV/0!</v>
      </c>
      <c r="G67" s="200" t="e">
        <f t="shared" si="19"/>
        <v>#DIV/0!</v>
      </c>
      <c r="H67" s="200" t="e">
        <f t="shared" si="19"/>
        <v>#DIV/0!</v>
      </c>
      <c r="I67" s="93" t="e">
        <f>STDEV(C67:H67)/AVERAGE(C67:H67)</f>
        <v>#DIV/0!</v>
      </c>
      <c r="J67" s="82" t="s">
        <v>297</v>
      </c>
      <c r="K67" s="90"/>
      <c r="L67" s="170"/>
      <c r="M67" s="170"/>
      <c r="N67" s="170"/>
      <c r="O67" s="170"/>
      <c r="P67" s="170"/>
      <c r="S67" s="170"/>
      <c r="T67" s="170"/>
      <c r="U67" s="170"/>
      <c r="V67" s="170"/>
      <c r="W67" s="170"/>
      <c r="X67" s="170"/>
      <c r="Y67" s="170"/>
      <c r="AJ67" s="87"/>
      <c r="AK67" s="87"/>
      <c r="AL67" s="87"/>
    </row>
    <row r="68" spans="1:38" x14ac:dyDescent="0.25">
      <c r="B68" s="156" t="s">
        <v>203</v>
      </c>
      <c r="C68" s="200" t="e">
        <f t="shared" si="18"/>
        <v>#DIV/0!</v>
      </c>
      <c r="D68" s="200" t="e">
        <f t="shared" si="18"/>
        <v>#DIV/0!</v>
      </c>
      <c r="E68" s="200" t="e">
        <f t="shared" ref="E68:H68" si="20">E64/SUM(E$62:E$64)</f>
        <v>#DIV/0!</v>
      </c>
      <c r="F68" s="200" t="e">
        <f t="shared" si="20"/>
        <v>#DIV/0!</v>
      </c>
      <c r="G68" s="200" t="e">
        <f t="shared" si="20"/>
        <v>#DIV/0!</v>
      </c>
      <c r="H68" s="200" t="e">
        <f t="shared" si="20"/>
        <v>#DIV/0!</v>
      </c>
      <c r="I68" s="93" t="e">
        <f>STDEV(C68:H68)/AVERAGE(C68:H68)</f>
        <v>#DIV/0!</v>
      </c>
      <c r="J68" s="82" t="s">
        <v>297</v>
      </c>
      <c r="K68" s="90"/>
      <c r="L68" s="170"/>
      <c r="M68" s="170"/>
      <c r="N68" s="170"/>
      <c r="O68" s="170"/>
      <c r="P68" s="170"/>
      <c r="S68" s="170"/>
      <c r="T68" s="170"/>
      <c r="U68" s="170"/>
      <c r="V68" s="170"/>
      <c r="W68" s="170"/>
      <c r="X68" s="170"/>
      <c r="Y68" s="170"/>
      <c r="AJ68" s="87"/>
      <c r="AK68" s="87"/>
      <c r="AL68" s="87"/>
    </row>
    <row r="69" spans="1:38" x14ac:dyDescent="0.25">
      <c r="I69" s="170"/>
      <c r="J69" s="170"/>
      <c r="K69" s="170"/>
      <c r="L69" s="170"/>
      <c r="M69" s="170"/>
      <c r="P69" s="170"/>
      <c r="Q69" s="170"/>
      <c r="R69" s="170"/>
      <c r="S69" s="170"/>
      <c r="T69" s="170"/>
      <c r="U69" s="170"/>
      <c r="V69" s="170"/>
    </row>
    <row r="70" spans="1:38" x14ac:dyDescent="0.25">
      <c r="I70" s="170"/>
      <c r="J70" s="170"/>
      <c r="K70" s="170"/>
      <c r="L70" s="170"/>
      <c r="M70" s="170"/>
      <c r="P70" s="170"/>
      <c r="Q70" s="170"/>
      <c r="R70" s="170"/>
      <c r="S70" s="170"/>
      <c r="T70" s="170"/>
      <c r="U70" s="170"/>
      <c r="V70" s="170"/>
    </row>
    <row r="71" spans="1:38" x14ac:dyDescent="0.25">
      <c r="E71" s="202" t="s">
        <v>204</v>
      </c>
      <c r="F71" s="85" t="s">
        <v>162</v>
      </c>
      <c r="G71" s="203" t="s">
        <v>163</v>
      </c>
    </row>
    <row r="72" spans="1:38" x14ac:dyDescent="0.25">
      <c r="E72" s="156" t="s">
        <v>201</v>
      </c>
      <c r="F72" s="93" t="str">
        <f>IFERROR(AVERAGE(C66:H66),"")</f>
        <v/>
      </c>
      <c r="G72" s="158">
        <f>SUMIF(AT$25:AT$40,"F",AV$25:AV$40)+SUMIF(AT$25:AT$40,"S",AV$25:AV$40)</f>
        <v>0</v>
      </c>
      <c r="N72" s="172"/>
      <c r="O72" s="172"/>
    </row>
    <row r="73" spans="1:38" x14ac:dyDescent="0.25">
      <c r="A73" s="93"/>
      <c r="B73" s="111"/>
      <c r="E73" s="156" t="s">
        <v>202</v>
      </c>
      <c r="F73" s="93" t="str">
        <f>IFERROR(AVERAGE(C67:H67),"")</f>
        <v/>
      </c>
      <c r="G73" s="158">
        <f>SUMIF(AT$25:AT$40,"F",AU$25:AU$40)+SUMIF(AT$25:AT$40,"S",AU$25:AU$40)</f>
        <v>0</v>
      </c>
    </row>
    <row r="74" spans="1:38" x14ac:dyDescent="0.25">
      <c r="A74" s="93"/>
      <c r="B74" s="111"/>
      <c r="E74" s="156" t="s">
        <v>203</v>
      </c>
      <c r="F74" s="93" t="str">
        <f>IFERROR(AVERAGE(C68:H68),"")</f>
        <v/>
      </c>
      <c r="G74" s="204">
        <f>1-G72-G73</f>
        <v>1</v>
      </c>
    </row>
    <row r="75" spans="1:38" x14ac:dyDescent="0.25">
      <c r="A75" s="93"/>
      <c r="B75" s="111"/>
    </row>
    <row r="76" spans="1:38" x14ac:dyDescent="0.25">
      <c r="A76" s="93"/>
      <c r="B76" s="111"/>
    </row>
    <row r="77" spans="1:38" x14ac:dyDescent="0.25">
      <c r="A77" s="93"/>
      <c r="B77" s="111"/>
    </row>
    <row r="78" spans="1:38" x14ac:dyDescent="0.25">
      <c r="A78" s="96"/>
      <c r="B78" s="112"/>
    </row>
    <row r="79" spans="1:38" x14ac:dyDescent="0.25">
      <c r="A79" s="96"/>
      <c r="B79" s="112"/>
    </row>
    <row r="80" spans="1:38" x14ac:dyDescent="0.25">
      <c r="A80" s="96"/>
      <c r="B80" s="112"/>
    </row>
    <row r="81" spans="1:2" x14ac:dyDescent="0.25">
      <c r="A81" s="96"/>
      <c r="B81" s="112"/>
    </row>
    <row r="82" spans="1:2" x14ac:dyDescent="0.25">
      <c r="A82" s="97"/>
      <c r="B82" s="90"/>
    </row>
    <row r="83" spans="1:2" x14ac:dyDescent="0.25">
      <c r="A83" s="97"/>
      <c r="B83" s="113"/>
    </row>
    <row r="84" spans="1:2" x14ac:dyDescent="0.25">
      <c r="A84" s="97"/>
      <c r="B84" s="90"/>
    </row>
    <row r="85" spans="1:2" x14ac:dyDescent="0.25">
      <c r="A85" s="97"/>
      <c r="B85" s="90"/>
    </row>
    <row r="86" spans="1:2" x14ac:dyDescent="0.25">
      <c r="A86" s="97"/>
      <c r="B86" s="113"/>
    </row>
  </sheetData>
  <sheetProtection sheet="1" objects="1" scenarios="1"/>
  <mergeCells count="1">
    <mergeCell ref="A1:A2"/>
  </mergeCells>
  <dataValidations count="1">
    <dataValidation type="list" allowBlank="1" showInputMessage="1" showErrorMessage="1" sqref="A6:A21" xr:uid="{52B1B951-AD8F-419E-B730-5368E05FFC63}">
      <formula1>alimentos</formula1>
    </dataValidation>
  </dataValidations>
  <pageMargins left="0.78740157499999996" right="0.78740157499999996" top="0.984251969" bottom="0.984251969" header="0.49212598499999999" footer="0.49212598499999999"/>
  <pageSetup paperSize="9" orientation="portrait" horizontalDpi="300" verticalDpi="3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4"/>
  <dimension ref="A1:AU87"/>
  <sheetViews>
    <sheetView zoomScale="80" zoomScaleNormal="80" workbookViewId="0">
      <pane xSplit="1" ySplit="5" topLeftCell="B27" activePane="bottomRight" state="frozen"/>
      <selection pane="topRight" activeCell="B1" sqref="B1"/>
      <selection pane="bottomLeft" activeCell="A6" sqref="A6"/>
      <selection pane="bottomRight" activeCell="AR9" sqref="AR9"/>
    </sheetView>
  </sheetViews>
  <sheetFormatPr defaultRowHeight="16.5" x14ac:dyDescent="0.25"/>
  <cols>
    <col min="1" max="1" width="34.85546875" style="77" bestFit="1" customWidth="1"/>
    <col min="2" max="4" width="13.28515625" style="87" customWidth="1"/>
    <col min="5" max="5" width="13.28515625" style="113" customWidth="1"/>
    <col min="6" max="6" width="13.28515625" style="87" customWidth="1"/>
    <col min="7" max="7" width="13.28515625" style="113" customWidth="1"/>
    <col min="8" max="8" width="13.28515625" style="90" customWidth="1"/>
    <col min="9" max="24" width="13.28515625" style="87" customWidth="1"/>
    <col min="25" max="25" width="16" style="87" bestFit="1" customWidth="1"/>
    <col min="26" max="26" width="13.28515625" style="87" customWidth="1"/>
    <col min="27" max="27" width="13.85546875" style="87" bestFit="1" customWidth="1"/>
    <col min="28" max="28" width="13.28515625" style="87" customWidth="1"/>
    <col min="29" max="29" width="15.5703125" style="87" bestFit="1" customWidth="1"/>
    <col min="30" max="35" width="13.28515625" style="87" customWidth="1"/>
    <col min="36" max="42" width="13.28515625" style="77" customWidth="1"/>
    <col min="43" max="43" width="15.28515625" style="77" bestFit="1" customWidth="1"/>
    <col min="44" max="44" width="13.28515625" style="77" customWidth="1"/>
    <col min="45" max="45" width="21.42578125" style="77" bestFit="1" customWidth="1"/>
    <col min="46" max="46" width="0" style="77" hidden="1" customWidth="1"/>
    <col min="47" max="47" width="10.42578125" style="77" customWidth="1"/>
    <col min="48" max="16384" width="9.140625" style="77"/>
  </cols>
  <sheetData>
    <row r="1" spans="1:47" s="72" customFormat="1" ht="18.75" customHeight="1" thickTop="1" x14ac:dyDescent="0.25">
      <c r="A1" s="245" t="s">
        <v>182</v>
      </c>
      <c r="C1" s="73" t="s">
        <v>0</v>
      </c>
      <c r="D1" s="205"/>
      <c r="E1" s="73"/>
      <c r="F1" s="77"/>
      <c r="G1" s="75" t="s">
        <v>183</v>
      </c>
      <c r="H1" s="76">
        <f>SUM(B25:B40)</f>
        <v>0</v>
      </c>
      <c r="I1" s="75"/>
      <c r="J1" s="77"/>
      <c r="K1" s="77"/>
      <c r="L1" s="78"/>
      <c r="M1" s="77"/>
      <c r="N1" s="77"/>
      <c r="O1" s="77"/>
      <c r="P1" s="77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1"/>
      <c r="AU1" s="81"/>
    </row>
    <row r="2" spans="1:47" s="72" customFormat="1" ht="17.25" customHeight="1" thickBot="1" x14ac:dyDescent="0.3">
      <c r="A2" s="246"/>
      <c r="C2" s="166" t="s">
        <v>181</v>
      </c>
      <c r="D2" s="206"/>
      <c r="E2" s="75"/>
      <c r="F2" s="77"/>
      <c r="G2" s="75" t="s">
        <v>186</v>
      </c>
      <c r="H2" s="76" t="e">
        <f>H1/E43</f>
        <v>#DIV/0!</v>
      </c>
      <c r="I2" s="84"/>
      <c r="J2" s="85"/>
      <c r="K2" s="77"/>
      <c r="L2" s="86"/>
      <c r="M2" s="77"/>
      <c r="N2" s="77"/>
      <c r="O2" s="77"/>
      <c r="P2" s="7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77"/>
      <c r="AK2" s="77"/>
      <c r="AL2" s="77"/>
      <c r="AM2" s="77"/>
      <c r="AN2" s="77"/>
      <c r="AO2" s="77"/>
      <c r="AP2" s="77"/>
      <c r="AQ2" s="77"/>
      <c r="AR2" s="77"/>
      <c r="AS2" s="77"/>
    </row>
    <row r="3" spans="1:47" s="72" customFormat="1" ht="17.25" thickTop="1" x14ac:dyDescent="0.25">
      <c r="A3" s="88"/>
      <c r="B3" s="89"/>
      <c r="C3" s="85"/>
      <c r="D3" s="75"/>
      <c r="E3" s="77"/>
      <c r="F3" s="77"/>
      <c r="G3" s="77"/>
      <c r="H3" s="90"/>
      <c r="I3" s="77"/>
      <c r="J3" s="75"/>
      <c r="K3" s="91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77"/>
      <c r="AK3" s="77"/>
      <c r="AL3" s="77"/>
      <c r="AM3" s="77"/>
      <c r="AN3" s="77"/>
      <c r="AO3" s="77"/>
      <c r="AP3" s="77"/>
      <c r="AQ3" s="77"/>
      <c r="AR3" s="77"/>
      <c r="AS3" s="77"/>
    </row>
    <row r="4" spans="1:47" s="98" customFormat="1" x14ac:dyDescent="0.25">
      <c r="A4" s="92" t="s">
        <v>1</v>
      </c>
      <c r="B4" s="85" t="s">
        <v>108</v>
      </c>
      <c r="C4" s="85"/>
      <c r="D4" s="85"/>
      <c r="E4" s="93" t="s">
        <v>2</v>
      </c>
      <c r="F4" s="93" t="s">
        <v>3</v>
      </c>
      <c r="G4" s="93" t="s">
        <v>3</v>
      </c>
      <c r="H4" s="93" t="s">
        <v>3</v>
      </c>
      <c r="I4" s="93" t="s">
        <v>3</v>
      </c>
      <c r="J4" s="94" t="s">
        <v>3</v>
      </c>
      <c r="K4" s="94" t="s">
        <v>109</v>
      </c>
      <c r="L4" s="94" t="s">
        <v>109</v>
      </c>
      <c r="M4" s="93" t="s">
        <v>3</v>
      </c>
      <c r="N4" s="93" t="s">
        <v>3</v>
      </c>
      <c r="O4" s="95" t="s">
        <v>4</v>
      </c>
      <c r="P4" s="93" t="s">
        <v>3</v>
      </c>
      <c r="Q4" s="93" t="s">
        <v>3</v>
      </c>
      <c r="R4" s="94" t="s">
        <v>3</v>
      </c>
      <c r="S4" s="93" t="s">
        <v>3</v>
      </c>
      <c r="T4" s="93" t="s">
        <v>3</v>
      </c>
      <c r="U4" s="94" t="s">
        <v>3</v>
      </c>
      <c r="V4" s="94" t="s">
        <v>100</v>
      </c>
      <c r="W4" s="96" t="s">
        <v>3</v>
      </c>
      <c r="X4" s="96" t="s">
        <v>3</v>
      </c>
      <c r="Y4" s="96" t="s">
        <v>3</v>
      </c>
      <c r="Z4" s="96" t="s">
        <v>3</v>
      </c>
      <c r="AA4" s="96" t="s">
        <v>3</v>
      </c>
      <c r="AB4" s="96" t="s">
        <v>3</v>
      </c>
      <c r="AC4" s="96" t="s">
        <v>3</v>
      </c>
      <c r="AD4" s="96" t="s">
        <v>3</v>
      </c>
      <c r="AE4" s="96" t="s">
        <v>3</v>
      </c>
      <c r="AF4" s="97" t="s">
        <v>34</v>
      </c>
      <c r="AG4" s="97" t="s">
        <v>34</v>
      </c>
      <c r="AH4" s="97" t="s">
        <v>34</v>
      </c>
      <c r="AI4" s="97" t="s">
        <v>34</v>
      </c>
      <c r="AJ4" s="97" t="s">
        <v>34</v>
      </c>
      <c r="AK4" s="97" t="s">
        <v>34</v>
      </c>
      <c r="AL4" s="97" t="s">
        <v>34</v>
      </c>
      <c r="AM4" s="97" t="s">
        <v>35</v>
      </c>
      <c r="AN4" s="97" t="s">
        <v>35</v>
      </c>
      <c r="AO4" s="97" t="s">
        <v>36</v>
      </c>
      <c r="AP4" s="97" t="s">
        <v>34</v>
      </c>
      <c r="AQ4" s="97" t="s">
        <v>34</v>
      </c>
      <c r="AR4" s="97" t="s">
        <v>34</v>
      </c>
      <c r="AS4" s="97" t="s">
        <v>172</v>
      </c>
    </row>
    <row r="5" spans="1:47" s="98" customFormat="1" ht="17.25" thickBot="1" x14ac:dyDescent="0.3">
      <c r="A5" s="99" t="s">
        <v>5</v>
      </c>
      <c r="B5" s="85" t="s">
        <v>6</v>
      </c>
      <c r="C5" s="85"/>
      <c r="D5" s="85"/>
      <c r="E5" s="93" t="s">
        <v>7</v>
      </c>
      <c r="F5" s="93" t="s">
        <v>8</v>
      </c>
      <c r="G5" s="93" t="s">
        <v>9</v>
      </c>
      <c r="H5" s="93" t="s">
        <v>67</v>
      </c>
      <c r="I5" s="93" t="s">
        <v>10</v>
      </c>
      <c r="J5" s="94" t="s">
        <v>11</v>
      </c>
      <c r="K5" s="94" t="s">
        <v>110</v>
      </c>
      <c r="L5" s="94" t="s">
        <v>111</v>
      </c>
      <c r="M5" s="93" t="s">
        <v>12</v>
      </c>
      <c r="N5" s="93" t="s">
        <v>13</v>
      </c>
      <c r="O5" s="95" t="s">
        <v>14</v>
      </c>
      <c r="P5" s="93" t="s">
        <v>15</v>
      </c>
      <c r="Q5" s="93" t="s">
        <v>16</v>
      </c>
      <c r="R5" s="94" t="s">
        <v>114</v>
      </c>
      <c r="S5" s="93" t="s">
        <v>17</v>
      </c>
      <c r="T5" s="93" t="s">
        <v>18</v>
      </c>
      <c r="U5" s="93" t="s">
        <v>99</v>
      </c>
      <c r="V5" s="94" t="s">
        <v>101</v>
      </c>
      <c r="W5" s="96" t="s">
        <v>19</v>
      </c>
      <c r="X5" s="96" t="s">
        <v>20</v>
      </c>
      <c r="Y5" s="96" t="s">
        <v>21</v>
      </c>
      <c r="Z5" s="96" t="s">
        <v>22</v>
      </c>
      <c r="AA5" s="96" t="s">
        <v>23</v>
      </c>
      <c r="AB5" s="96" t="s">
        <v>24</v>
      </c>
      <c r="AC5" s="96" t="s">
        <v>25</v>
      </c>
      <c r="AD5" s="96" t="s">
        <v>26</v>
      </c>
      <c r="AE5" s="96" t="s">
        <v>27</v>
      </c>
      <c r="AF5" s="97" t="s">
        <v>37</v>
      </c>
      <c r="AG5" s="100" t="s">
        <v>38</v>
      </c>
      <c r="AH5" s="100" t="s">
        <v>41</v>
      </c>
      <c r="AI5" s="100" t="s">
        <v>43</v>
      </c>
      <c r="AJ5" s="100" t="s">
        <v>42</v>
      </c>
      <c r="AK5" s="100" t="s">
        <v>40</v>
      </c>
      <c r="AL5" s="100" t="s">
        <v>39</v>
      </c>
      <c r="AM5" s="100" t="s">
        <v>44</v>
      </c>
      <c r="AN5" s="97" t="s">
        <v>45</v>
      </c>
      <c r="AO5" s="97" t="s">
        <v>46</v>
      </c>
      <c r="AP5" s="97" t="s">
        <v>47</v>
      </c>
      <c r="AQ5" s="97" t="s">
        <v>48</v>
      </c>
      <c r="AR5" s="97" t="s">
        <v>170</v>
      </c>
      <c r="AS5" s="97" t="s">
        <v>171</v>
      </c>
    </row>
    <row r="6" spans="1:47" ht="17.25" thickTop="1" x14ac:dyDescent="0.25">
      <c r="A6" s="108" t="s">
        <v>60</v>
      </c>
      <c r="B6" s="102">
        <f>VLOOKUP($A6,Alimentos!$A:$BA,2,FALSE)</f>
        <v>0</v>
      </c>
      <c r="C6" s="103">
        <f>VLOOKUP($A6,Alimentos!$A:$BA,4,FALSE)</f>
        <v>0</v>
      </c>
      <c r="D6" s="102"/>
      <c r="E6" s="104">
        <f>VLOOKUP($A6,Alimentos!$A:$BA,5,FALSE)</f>
        <v>0</v>
      </c>
      <c r="F6" s="104">
        <f>VLOOKUP($A6,Alimentos!$A:$BA,6,FALSE)</f>
        <v>0</v>
      </c>
      <c r="G6" s="104">
        <f>VLOOKUP($A6,Alimentos!$A:$BA,7,FALSE)</f>
        <v>0</v>
      </c>
      <c r="H6" s="104">
        <f>VLOOKUP($A6,Alimentos!$A:$BA,8,FALSE)</f>
        <v>0</v>
      </c>
      <c r="I6" s="104">
        <f>VLOOKUP($A6,Alimentos!$A:$BA,9,FALSE)</f>
        <v>0</v>
      </c>
      <c r="J6" s="104">
        <f>VLOOKUP($A6,Alimentos!$A:$BA,10,FALSE)</f>
        <v>0</v>
      </c>
      <c r="K6" s="104">
        <f>VLOOKUP($A6,Alimentos!$A:$BA,11,FALSE)</f>
        <v>0</v>
      </c>
      <c r="L6" s="104">
        <f>VLOOKUP($A6,Alimentos!$A:$BA,12,FALSE)</f>
        <v>0</v>
      </c>
      <c r="M6" s="104">
        <f>VLOOKUP($A6,Alimentos!$A:$BA,13,FALSE)</f>
        <v>0</v>
      </c>
      <c r="N6" s="104">
        <f>VLOOKUP($A6,Alimentos!$A:$BA,14,FALSE)</f>
        <v>0</v>
      </c>
      <c r="O6" s="105">
        <f>VLOOKUP($A6,Alimentos!$A:$BA,15,FALSE)</f>
        <v>0</v>
      </c>
      <c r="P6" s="104">
        <f>VLOOKUP($A6,Alimentos!$A:$BA,16,FALSE)</f>
        <v>0</v>
      </c>
      <c r="Q6" s="104">
        <f>VLOOKUP($A6,Alimentos!$A:$BA,17,FALSE)</f>
        <v>0</v>
      </c>
      <c r="R6" s="104">
        <f>VLOOKUP($A6,Alimentos!$A:$BA,18,FALSE)</f>
        <v>0</v>
      </c>
      <c r="S6" s="104">
        <f>VLOOKUP($A6,Alimentos!$A:$BA,19,FALSE)</f>
        <v>0</v>
      </c>
      <c r="T6" s="104">
        <f>VLOOKUP($A6,Alimentos!$A:$BA,20,FALSE)</f>
        <v>0</v>
      </c>
      <c r="U6" s="104">
        <f>VLOOKUP($A6,Alimentos!$A:$BA,21,FALSE)</f>
        <v>0</v>
      </c>
      <c r="V6" s="104">
        <f>VLOOKUP($A6,Alimentos!$A:$BA,22,FALSE)</f>
        <v>0</v>
      </c>
      <c r="W6" s="106">
        <f>VLOOKUP($A6,Alimentos!$A:$BA,23,FALSE)</f>
        <v>0</v>
      </c>
      <c r="X6" s="106">
        <f>VLOOKUP($A6,Alimentos!$A:$BA,24,FALSE)</f>
        <v>0</v>
      </c>
      <c r="Y6" s="106">
        <f>VLOOKUP($A6,Alimentos!$A:$BA,25,FALSE)</f>
        <v>0</v>
      </c>
      <c r="Z6" s="106">
        <f>VLOOKUP($A6,Alimentos!$A:$BA,26,FALSE)</f>
        <v>0</v>
      </c>
      <c r="AA6" s="106">
        <f>VLOOKUP($A6,Alimentos!$A:$BA,27,FALSE)</f>
        <v>0</v>
      </c>
      <c r="AB6" s="106">
        <f>VLOOKUP($A6,Alimentos!$A:$BA,28,FALSE)</f>
        <v>0</v>
      </c>
      <c r="AC6" s="106">
        <f>VLOOKUP($A6,Alimentos!$A:$BA,29,FALSE)</f>
        <v>0</v>
      </c>
      <c r="AD6" s="106">
        <f>VLOOKUP($A6,Alimentos!$A:$BA,30,FALSE)</f>
        <v>0</v>
      </c>
      <c r="AE6" s="106">
        <f>VLOOKUP($A6,Alimentos!$A:$BA,31,FALSE)</f>
        <v>0</v>
      </c>
      <c r="AF6" s="107">
        <f>VLOOKUP($A6,Alimentos!$A:$BA,32,FALSE)</f>
        <v>0</v>
      </c>
      <c r="AG6" s="107">
        <f>VLOOKUP($A6,Alimentos!$A:$BA,33,FALSE)</f>
        <v>0</v>
      </c>
      <c r="AH6" s="107">
        <f>VLOOKUP($A6,Alimentos!$A:$BA,34,FALSE)</f>
        <v>0</v>
      </c>
      <c r="AI6" s="107">
        <f>VLOOKUP($A6,Alimentos!$A:$BA,35,FALSE)</f>
        <v>0</v>
      </c>
      <c r="AJ6" s="107">
        <f>VLOOKUP($A6,Alimentos!$A:$BA,36,FALSE)</f>
        <v>0</v>
      </c>
      <c r="AK6" s="107">
        <f>VLOOKUP($A6,Alimentos!$A:$BA,37,FALSE)</f>
        <v>0</v>
      </c>
      <c r="AL6" s="107">
        <f>VLOOKUP($A6,Alimentos!$A:$BA,38,FALSE)</f>
        <v>0</v>
      </c>
      <c r="AM6" s="107">
        <f>VLOOKUP($A6,Alimentos!$A:$BA,39,FALSE)</f>
        <v>0</v>
      </c>
      <c r="AN6" s="107">
        <f>VLOOKUP($A6,Alimentos!$A:$BA,40,FALSE)</f>
        <v>0</v>
      </c>
      <c r="AO6" s="107">
        <f>VLOOKUP($A6,Alimentos!$A:$BA,41,FALSE)</f>
        <v>0</v>
      </c>
      <c r="AP6" s="107">
        <f>VLOOKUP($A6,Alimentos!$A:$BA,42,FALSE)</f>
        <v>0</v>
      </c>
      <c r="AQ6" s="107">
        <f>VLOOKUP($A6,Alimentos!$A:$BA,43,FALSE)</f>
        <v>0</v>
      </c>
      <c r="AR6" s="107">
        <f>VLOOKUP($A6,Alimentos!$A:$BA,44,FALSE)</f>
        <v>0</v>
      </c>
      <c r="AS6" s="107">
        <f>VLOOKUP($A6,Alimentos!$A:$BA,45,FALSE)</f>
        <v>0</v>
      </c>
    </row>
    <row r="7" spans="1:47" x14ac:dyDescent="0.25">
      <c r="A7" s="108" t="s">
        <v>60</v>
      </c>
      <c r="B7" s="109">
        <f>VLOOKUP($A7,Alimentos!$A:$BA,2,FALSE)</f>
        <v>0</v>
      </c>
      <c r="C7" s="110">
        <f>VLOOKUP($A7,Alimentos!$A:$BA,4,FALSE)</f>
        <v>0</v>
      </c>
      <c r="D7" s="109"/>
      <c r="E7" s="111">
        <f>VLOOKUP($A7,Alimentos!$A:$BA,5,FALSE)</f>
        <v>0</v>
      </c>
      <c r="F7" s="111">
        <f>VLOOKUP($A7,Alimentos!$A:$BA,6,FALSE)</f>
        <v>0</v>
      </c>
      <c r="G7" s="111">
        <f>VLOOKUP($A7,Alimentos!$A:$BA,7,FALSE)</f>
        <v>0</v>
      </c>
      <c r="H7" s="111">
        <f>VLOOKUP($A7,Alimentos!$A:$BA,8,FALSE)</f>
        <v>0</v>
      </c>
      <c r="I7" s="111">
        <f>VLOOKUP($A7,Alimentos!$A:$BA,9,FALSE)</f>
        <v>0</v>
      </c>
      <c r="J7" s="111">
        <f>VLOOKUP($A7,Alimentos!$A:$BA,10,FALSE)</f>
        <v>0</v>
      </c>
      <c r="K7" s="111">
        <f>VLOOKUP($A7,Alimentos!$A:$BA,11,FALSE)</f>
        <v>0</v>
      </c>
      <c r="L7" s="111">
        <f>VLOOKUP($A7,Alimentos!$A:$BA,12,FALSE)</f>
        <v>0</v>
      </c>
      <c r="M7" s="111">
        <f>VLOOKUP($A7,Alimentos!$A:$BA,13,FALSE)</f>
        <v>0</v>
      </c>
      <c r="N7" s="111">
        <f>VLOOKUP($A7,Alimentos!$A:$BA,14,FALSE)</f>
        <v>0</v>
      </c>
      <c r="O7" s="90">
        <f>VLOOKUP($A7,Alimentos!$A:$BA,15,FALSE)</f>
        <v>0</v>
      </c>
      <c r="P7" s="111">
        <f>VLOOKUP($A7,Alimentos!$A:$BA,16,FALSE)</f>
        <v>0</v>
      </c>
      <c r="Q7" s="111">
        <f>VLOOKUP($A7,Alimentos!$A:$BA,17,FALSE)</f>
        <v>0</v>
      </c>
      <c r="R7" s="111">
        <f>VLOOKUP($A7,Alimentos!$A:$BA,18,FALSE)</f>
        <v>0</v>
      </c>
      <c r="S7" s="111">
        <f>VLOOKUP($A7,Alimentos!$A:$BA,19,FALSE)</f>
        <v>0</v>
      </c>
      <c r="T7" s="111">
        <f>VLOOKUP($A7,Alimentos!$A:$BA,20,FALSE)</f>
        <v>0</v>
      </c>
      <c r="U7" s="111">
        <f>VLOOKUP($A7,Alimentos!$A:$BA,21,FALSE)</f>
        <v>0</v>
      </c>
      <c r="V7" s="111">
        <f>VLOOKUP($A7,Alimentos!$A:$BA,22,FALSE)</f>
        <v>0</v>
      </c>
      <c r="W7" s="112">
        <f>VLOOKUP($A7,Alimentos!$A:$BA,23,FALSE)</f>
        <v>0</v>
      </c>
      <c r="X7" s="112">
        <f>VLOOKUP($A7,Alimentos!$A:$BA,24,FALSE)</f>
        <v>0</v>
      </c>
      <c r="Y7" s="112">
        <f>VLOOKUP($A7,Alimentos!$A:$BA,25,FALSE)</f>
        <v>0</v>
      </c>
      <c r="Z7" s="112">
        <f>VLOOKUP($A7,Alimentos!$A:$BA,26,FALSE)</f>
        <v>0</v>
      </c>
      <c r="AA7" s="112">
        <f>VLOOKUP($A7,Alimentos!$A:$BA,27,FALSE)</f>
        <v>0</v>
      </c>
      <c r="AB7" s="112">
        <f>VLOOKUP($A7,Alimentos!$A:$BA,28,FALSE)</f>
        <v>0</v>
      </c>
      <c r="AC7" s="112">
        <f>VLOOKUP($A7,Alimentos!$A:$BA,29,FALSE)</f>
        <v>0</v>
      </c>
      <c r="AD7" s="112">
        <f>VLOOKUP($A7,Alimentos!$A:$BA,30,FALSE)</f>
        <v>0</v>
      </c>
      <c r="AE7" s="112">
        <f>VLOOKUP($A7,Alimentos!$A:$BA,31,FALSE)</f>
        <v>0</v>
      </c>
      <c r="AF7" s="113">
        <f>VLOOKUP($A7,Alimentos!$A:$BA,32,FALSE)</f>
        <v>0</v>
      </c>
      <c r="AG7" s="113">
        <f>VLOOKUP($A7,Alimentos!$A:$BA,33,FALSE)</f>
        <v>0</v>
      </c>
      <c r="AH7" s="113">
        <f>VLOOKUP($A7,Alimentos!$A:$BA,34,FALSE)</f>
        <v>0</v>
      </c>
      <c r="AI7" s="113">
        <f>VLOOKUP($A7,Alimentos!$A:$BA,35,FALSE)</f>
        <v>0</v>
      </c>
      <c r="AJ7" s="113">
        <f>VLOOKUP($A7,Alimentos!$A:$BA,36,FALSE)</f>
        <v>0</v>
      </c>
      <c r="AK7" s="113">
        <f>VLOOKUP($A7,Alimentos!$A:$BA,37,FALSE)</f>
        <v>0</v>
      </c>
      <c r="AL7" s="113">
        <f>VLOOKUP($A7,Alimentos!$A:$BA,38,FALSE)</f>
        <v>0</v>
      </c>
      <c r="AM7" s="113">
        <f>VLOOKUP($A7,Alimentos!$A:$BA,39,FALSE)</f>
        <v>0</v>
      </c>
      <c r="AN7" s="113">
        <f>VLOOKUP($A7,Alimentos!$A:$BA,40,FALSE)</f>
        <v>0</v>
      </c>
      <c r="AO7" s="113">
        <f>VLOOKUP($A7,Alimentos!$A:$BA,41,FALSE)</f>
        <v>0</v>
      </c>
      <c r="AP7" s="113">
        <f>VLOOKUP($A7,Alimentos!$A:$BA,42,FALSE)</f>
        <v>0</v>
      </c>
      <c r="AQ7" s="113">
        <f>VLOOKUP($A7,Alimentos!$A:$BA,43,FALSE)</f>
        <v>0</v>
      </c>
      <c r="AR7" s="113">
        <f>VLOOKUP($A7,Alimentos!$A:$BA,44,FALSE)</f>
        <v>0</v>
      </c>
      <c r="AS7" s="113">
        <f>VLOOKUP($A7,Alimentos!$A:$BA,45,FALSE)</f>
        <v>0</v>
      </c>
    </row>
    <row r="8" spans="1:47" x14ac:dyDescent="0.25">
      <c r="A8" s="108" t="s">
        <v>60</v>
      </c>
      <c r="B8" s="109">
        <f>VLOOKUP($A8,Alimentos!$A:$BA,2,FALSE)</f>
        <v>0</v>
      </c>
      <c r="C8" s="114">
        <f>VLOOKUP($A8,Alimentos!$A:$BA,4,FALSE)</f>
        <v>0</v>
      </c>
      <c r="E8" s="111">
        <f>VLOOKUP($A8,Alimentos!$A:$BA,5,FALSE)</f>
        <v>0</v>
      </c>
      <c r="F8" s="111">
        <f>VLOOKUP($A8,Alimentos!$A:$BA,6,FALSE)</f>
        <v>0</v>
      </c>
      <c r="G8" s="111">
        <f>VLOOKUP($A8,Alimentos!$A:$BA,7,FALSE)</f>
        <v>0</v>
      </c>
      <c r="H8" s="111">
        <f>VLOOKUP($A8,Alimentos!$A:$BA,8,FALSE)</f>
        <v>0</v>
      </c>
      <c r="I8" s="111">
        <f>VLOOKUP($A8,Alimentos!$A:$BA,9,FALSE)</f>
        <v>0</v>
      </c>
      <c r="J8" s="111">
        <f>VLOOKUP($A8,Alimentos!$A:$BA,10,FALSE)</f>
        <v>0</v>
      </c>
      <c r="K8" s="111">
        <f>VLOOKUP($A8,Alimentos!$A:$BA,11,FALSE)</f>
        <v>0</v>
      </c>
      <c r="L8" s="111">
        <f>VLOOKUP($A8,Alimentos!$A:$BA,12,FALSE)</f>
        <v>0</v>
      </c>
      <c r="M8" s="111">
        <f>VLOOKUP($A8,Alimentos!$A:$BA,13,FALSE)</f>
        <v>0</v>
      </c>
      <c r="N8" s="111">
        <f>VLOOKUP($A8,Alimentos!$A:$BA,14,FALSE)</f>
        <v>0</v>
      </c>
      <c r="O8" s="90">
        <f>VLOOKUP($A8,Alimentos!$A:$BA,15,FALSE)</f>
        <v>0</v>
      </c>
      <c r="P8" s="111">
        <f>VLOOKUP($A8,Alimentos!$A:$BA,16,FALSE)</f>
        <v>0</v>
      </c>
      <c r="Q8" s="111">
        <f>VLOOKUP($A8,Alimentos!$A:$BA,17,FALSE)</f>
        <v>0</v>
      </c>
      <c r="R8" s="111">
        <f>VLOOKUP($A8,Alimentos!$A:$BA,18,FALSE)</f>
        <v>0</v>
      </c>
      <c r="S8" s="111">
        <f>VLOOKUP($A8,Alimentos!$A:$BA,19,FALSE)</f>
        <v>0</v>
      </c>
      <c r="T8" s="111">
        <f>VLOOKUP($A8,Alimentos!$A:$BA,20,FALSE)</f>
        <v>0</v>
      </c>
      <c r="U8" s="111">
        <f>VLOOKUP($A8,Alimentos!$A:$BA,21,FALSE)</f>
        <v>0</v>
      </c>
      <c r="V8" s="111">
        <f>VLOOKUP($A8,Alimentos!$A:$BA,22,FALSE)</f>
        <v>0</v>
      </c>
      <c r="W8" s="112">
        <f>VLOOKUP($A8,Alimentos!$A:$BA,23,FALSE)</f>
        <v>0</v>
      </c>
      <c r="X8" s="112">
        <f>VLOOKUP($A8,Alimentos!$A:$BA,24,FALSE)</f>
        <v>0</v>
      </c>
      <c r="Y8" s="112">
        <f>VLOOKUP($A8,Alimentos!$A:$BA,25,FALSE)</f>
        <v>0</v>
      </c>
      <c r="Z8" s="112">
        <f>VLOOKUP($A8,Alimentos!$A:$BA,26,FALSE)</f>
        <v>0</v>
      </c>
      <c r="AA8" s="112">
        <f>VLOOKUP($A8,Alimentos!$A:$BA,27,FALSE)</f>
        <v>0</v>
      </c>
      <c r="AB8" s="112">
        <f>VLOOKUP($A8,Alimentos!$A:$BA,28,FALSE)</f>
        <v>0</v>
      </c>
      <c r="AC8" s="112">
        <f>VLOOKUP($A8,Alimentos!$A:$BA,29,FALSE)</f>
        <v>0</v>
      </c>
      <c r="AD8" s="112">
        <f>VLOOKUP($A8,Alimentos!$A:$BA,30,FALSE)</f>
        <v>0</v>
      </c>
      <c r="AE8" s="112">
        <f>VLOOKUP($A8,Alimentos!$A:$BA,31,FALSE)</f>
        <v>0</v>
      </c>
      <c r="AF8" s="113">
        <f>VLOOKUP($A8,Alimentos!$A:$BA,32,FALSE)</f>
        <v>0</v>
      </c>
      <c r="AG8" s="113">
        <f>VLOOKUP($A8,Alimentos!$A:$BA,33,FALSE)</f>
        <v>0</v>
      </c>
      <c r="AH8" s="113">
        <f>VLOOKUP($A8,Alimentos!$A:$BA,34,FALSE)</f>
        <v>0</v>
      </c>
      <c r="AI8" s="113">
        <f>VLOOKUP($A8,Alimentos!$A:$BA,35,FALSE)</f>
        <v>0</v>
      </c>
      <c r="AJ8" s="113">
        <f>VLOOKUP($A8,Alimentos!$A:$BA,36,FALSE)</f>
        <v>0</v>
      </c>
      <c r="AK8" s="113">
        <f>VLOOKUP($A8,Alimentos!$A:$BA,37,FALSE)</f>
        <v>0</v>
      </c>
      <c r="AL8" s="113">
        <f>VLOOKUP($A8,Alimentos!$A:$BA,38,FALSE)</f>
        <v>0</v>
      </c>
      <c r="AM8" s="113">
        <f>VLOOKUP($A8,Alimentos!$A:$BA,39,FALSE)</f>
        <v>0</v>
      </c>
      <c r="AN8" s="113">
        <f>VLOOKUP($A8,Alimentos!$A:$BA,40,FALSE)</f>
        <v>0</v>
      </c>
      <c r="AO8" s="113">
        <f>VLOOKUP($A8,Alimentos!$A:$BA,41,FALSE)</f>
        <v>0</v>
      </c>
      <c r="AP8" s="113">
        <f>VLOOKUP($A8,Alimentos!$A:$BA,42,FALSE)</f>
        <v>0</v>
      </c>
      <c r="AQ8" s="113">
        <f>VLOOKUP($A8,Alimentos!$A:$BA,43,FALSE)</f>
        <v>0</v>
      </c>
      <c r="AR8" s="113">
        <f>VLOOKUP($A8,Alimentos!$A:$BA,44,FALSE)</f>
        <v>0</v>
      </c>
      <c r="AS8" s="113">
        <f>VLOOKUP($A8,Alimentos!$A:$BA,45,FALSE)</f>
        <v>0</v>
      </c>
    </row>
    <row r="9" spans="1:47" x14ac:dyDescent="0.25">
      <c r="A9" s="108" t="s">
        <v>60</v>
      </c>
      <c r="B9" s="109">
        <f>VLOOKUP($A9,Alimentos!$A:$BA,2,FALSE)</f>
        <v>0</v>
      </c>
      <c r="C9" s="114">
        <f>VLOOKUP($A9,Alimentos!$A:$BA,4,FALSE)</f>
        <v>0</v>
      </c>
      <c r="E9" s="111">
        <f>VLOOKUP($A9,Alimentos!$A:$BA,5,FALSE)</f>
        <v>0</v>
      </c>
      <c r="F9" s="111">
        <f>VLOOKUP($A9,Alimentos!$A:$BA,6,FALSE)</f>
        <v>0</v>
      </c>
      <c r="G9" s="111">
        <f>VLOOKUP($A9,Alimentos!$A:$BA,7,FALSE)</f>
        <v>0</v>
      </c>
      <c r="H9" s="111">
        <f>VLOOKUP($A9,Alimentos!$A:$BA,8,FALSE)</f>
        <v>0</v>
      </c>
      <c r="I9" s="111">
        <f>VLOOKUP($A9,Alimentos!$A:$BA,9,FALSE)</f>
        <v>0</v>
      </c>
      <c r="J9" s="111">
        <f>VLOOKUP($A9,Alimentos!$A:$BA,10,FALSE)</f>
        <v>0</v>
      </c>
      <c r="K9" s="111">
        <f>VLOOKUP($A9,Alimentos!$A:$BA,11,FALSE)</f>
        <v>0</v>
      </c>
      <c r="L9" s="111">
        <f>VLOOKUP($A9,Alimentos!$A:$BA,12,FALSE)</f>
        <v>0</v>
      </c>
      <c r="M9" s="111">
        <f>VLOOKUP($A9,Alimentos!$A:$BA,13,FALSE)</f>
        <v>0</v>
      </c>
      <c r="N9" s="111">
        <f>VLOOKUP($A9,Alimentos!$A:$BA,14,FALSE)</f>
        <v>0</v>
      </c>
      <c r="O9" s="90">
        <f>VLOOKUP($A9,Alimentos!$A:$BA,15,FALSE)</f>
        <v>0</v>
      </c>
      <c r="P9" s="111">
        <f>VLOOKUP($A9,Alimentos!$A:$BA,16,FALSE)</f>
        <v>0</v>
      </c>
      <c r="Q9" s="111">
        <f>VLOOKUP($A9,Alimentos!$A:$BA,17,FALSE)</f>
        <v>0</v>
      </c>
      <c r="R9" s="111">
        <f>VLOOKUP($A9,Alimentos!$A:$BA,18,FALSE)</f>
        <v>0</v>
      </c>
      <c r="S9" s="111">
        <f>VLOOKUP($A9,Alimentos!$A:$BA,19,FALSE)</f>
        <v>0</v>
      </c>
      <c r="T9" s="111">
        <f>VLOOKUP($A9,Alimentos!$A:$BA,20,FALSE)</f>
        <v>0</v>
      </c>
      <c r="U9" s="111">
        <f>VLOOKUP($A9,Alimentos!$A:$BA,21,FALSE)</f>
        <v>0</v>
      </c>
      <c r="V9" s="111">
        <f>VLOOKUP($A9,Alimentos!$A:$BA,22,FALSE)</f>
        <v>0</v>
      </c>
      <c r="W9" s="112">
        <f>VLOOKUP($A9,Alimentos!$A:$BA,23,FALSE)</f>
        <v>0</v>
      </c>
      <c r="X9" s="112">
        <f>VLOOKUP($A9,Alimentos!$A:$BA,24,FALSE)</f>
        <v>0</v>
      </c>
      <c r="Y9" s="112">
        <f>VLOOKUP($A9,Alimentos!$A:$BA,25,FALSE)</f>
        <v>0</v>
      </c>
      <c r="Z9" s="112">
        <f>VLOOKUP($A9,Alimentos!$A:$BA,26,FALSE)</f>
        <v>0</v>
      </c>
      <c r="AA9" s="112">
        <f>VLOOKUP($A9,Alimentos!$A:$BA,27,FALSE)</f>
        <v>0</v>
      </c>
      <c r="AB9" s="112">
        <f>VLOOKUP($A9,Alimentos!$A:$BA,28,FALSE)</f>
        <v>0</v>
      </c>
      <c r="AC9" s="112">
        <f>VLOOKUP($A9,Alimentos!$A:$BA,29,FALSE)</f>
        <v>0</v>
      </c>
      <c r="AD9" s="112">
        <f>VLOOKUP($A9,Alimentos!$A:$BA,30,FALSE)</f>
        <v>0</v>
      </c>
      <c r="AE9" s="112">
        <f>VLOOKUP($A9,Alimentos!$A:$BA,31,FALSE)</f>
        <v>0</v>
      </c>
      <c r="AF9" s="113">
        <f>VLOOKUP($A9,Alimentos!$A:$BA,32,FALSE)</f>
        <v>0</v>
      </c>
      <c r="AG9" s="113">
        <f>VLOOKUP($A9,Alimentos!$A:$BA,33,FALSE)</f>
        <v>0</v>
      </c>
      <c r="AH9" s="113">
        <f>VLOOKUP($A9,Alimentos!$A:$BA,34,FALSE)</f>
        <v>0</v>
      </c>
      <c r="AI9" s="113">
        <f>VLOOKUP($A9,Alimentos!$A:$BA,35,FALSE)</f>
        <v>0</v>
      </c>
      <c r="AJ9" s="113">
        <f>VLOOKUP($A9,Alimentos!$A:$BA,36,FALSE)</f>
        <v>0</v>
      </c>
      <c r="AK9" s="113">
        <f>VLOOKUP($A9,Alimentos!$A:$BA,37,FALSE)</f>
        <v>0</v>
      </c>
      <c r="AL9" s="113">
        <f>VLOOKUP($A9,Alimentos!$A:$BA,38,FALSE)</f>
        <v>0</v>
      </c>
      <c r="AM9" s="113">
        <f>VLOOKUP($A9,Alimentos!$A:$BA,39,FALSE)</f>
        <v>0</v>
      </c>
      <c r="AN9" s="113">
        <f>VLOOKUP($A9,Alimentos!$A:$BA,40,FALSE)</f>
        <v>0</v>
      </c>
      <c r="AO9" s="113">
        <f>VLOOKUP($A9,Alimentos!$A:$BA,41,FALSE)</f>
        <v>0</v>
      </c>
      <c r="AP9" s="113">
        <f>VLOOKUP($A9,Alimentos!$A:$BA,42,FALSE)</f>
        <v>0</v>
      </c>
      <c r="AQ9" s="113">
        <f>VLOOKUP($A9,Alimentos!$A:$BA,43,FALSE)</f>
        <v>0</v>
      </c>
      <c r="AR9" s="113">
        <f>VLOOKUP($A9,Alimentos!$A:$BA,44,FALSE)</f>
        <v>0</v>
      </c>
      <c r="AS9" s="113">
        <f>VLOOKUP($A9,Alimentos!$A:$BA,45,FALSE)</f>
        <v>0</v>
      </c>
    </row>
    <row r="10" spans="1:47" x14ac:dyDescent="0.25">
      <c r="A10" s="108" t="s">
        <v>60</v>
      </c>
      <c r="B10" s="109">
        <f>VLOOKUP($A10,Alimentos!$A:$BA,2,FALSE)</f>
        <v>0</v>
      </c>
      <c r="C10" s="114">
        <f>VLOOKUP($A10,Alimentos!$A:$BA,4,FALSE)</f>
        <v>0</v>
      </c>
      <c r="E10" s="111">
        <f>VLOOKUP($A10,Alimentos!$A:$BA,5,FALSE)</f>
        <v>0</v>
      </c>
      <c r="F10" s="111">
        <f>VLOOKUP($A10,Alimentos!$A:$BA,6,FALSE)</f>
        <v>0</v>
      </c>
      <c r="G10" s="111">
        <f>VLOOKUP($A10,Alimentos!$A:$BA,7,FALSE)</f>
        <v>0</v>
      </c>
      <c r="H10" s="111">
        <f>VLOOKUP($A10,Alimentos!$A:$BA,8,FALSE)</f>
        <v>0</v>
      </c>
      <c r="I10" s="111">
        <f>VLOOKUP($A10,Alimentos!$A:$BA,9,FALSE)</f>
        <v>0</v>
      </c>
      <c r="J10" s="111">
        <f>VLOOKUP($A10,Alimentos!$A:$BA,10,FALSE)</f>
        <v>0</v>
      </c>
      <c r="K10" s="111">
        <f>VLOOKUP($A10,Alimentos!$A:$BA,11,FALSE)</f>
        <v>0</v>
      </c>
      <c r="L10" s="111">
        <f>VLOOKUP($A10,Alimentos!$A:$BA,12,FALSE)</f>
        <v>0</v>
      </c>
      <c r="M10" s="111">
        <f>VLOOKUP($A10,Alimentos!$A:$BA,13,FALSE)</f>
        <v>0</v>
      </c>
      <c r="N10" s="111">
        <f>VLOOKUP($A10,Alimentos!$A:$BA,14,FALSE)</f>
        <v>0</v>
      </c>
      <c r="O10" s="90">
        <f>VLOOKUP($A10,Alimentos!$A:$BA,15,FALSE)</f>
        <v>0</v>
      </c>
      <c r="P10" s="111">
        <f>VLOOKUP($A10,Alimentos!$A:$BA,16,FALSE)</f>
        <v>0</v>
      </c>
      <c r="Q10" s="111">
        <f>VLOOKUP($A10,Alimentos!$A:$BA,17,FALSE)</f>
        <v>0</v>
      </c>
      <c r="R10" s="111">
        <f>VLOOKUP($A10,Alimentos!$A:$BA,18,FALSE)</f>
        <v>0</v>
      </c>
      <c r="S10" s="111">
        <f>VLOOKUP($A10,Alimentos!$A:$BA,19,FALSE)</f>
        <v>0</v>
      </c>
      <c r="T10" s="111">
        <f>VLOOKUP($A10,Alimentos!$A:$BA,20,FALSE)</f>
        <v>0</v>
      </c>
      <c r="U10" s="111">
        <f>VLOOKUP($A10,Alimentos!$A:$BA,21,FALSE)</f>
        <v>0</v>
      </c>
      <c r="V10" s="111">
        <f>VLOOKUP($A10,Alimentos!$A:$BA,22,FALSE)</f>
        <v>0</v>
      </c>
      <c r="W10" s="112">
        <f>VLOOKUP($A10,Alimentos!$A:$BA,23,FALSE)</f>
        <v>0</v>
      </c>
      <c r="X10" s="112">
        <f>VLOOKUP($A10,Alimentos!$A:$BA,24,FALSE)</f>
        <v>0</v>
      </c>
      <c r="Y10" s="112">
        <f>VLOOKUP($A10,Alimentos!$A:$BA,25,FALSE)</f>
        <v>0</v>
      </c>
      <c r="Z10" s="112">
        <f>VLOOKUP($A10,Alimentos!$A:$BA,26,FALSE)</f>
        <v>0</v>
      </c>
      <c r="AA10" s="112">
        <f>VLOOKUP($A10,Alimentos!$A:$BA,27,FALSE)</f>
        <v>0</v>
      </c>
      <c r="AB10" s="112">
        <f>VLOOKUP($A10,Alimentos!$A:$BA,28,FALSE)</f>
        <v>0</v>
      </c>
      <c r="AC10" s="112">
        <f>VLOOKUP($A10,Alimentos!$A:$BA,29,FALSE)</f>
        <v>0</v>
      </c>
      <c r="AD10" s="112">
        <f>VLOOKUP($A10,Alimentos!$A:$BA,30,FALSE)</f>
        <v>0</v>
      </c>
      <c r="AE10" s="112">
        <f>VLOOKUP($A10,Alimentos!$A:$BA,31,FALSE)</f>
        <v>0</v>
      </c>
      <c r="AF10" s="113">
        <f>VLOOKUP($A10,Alimentos!$A:$BA,32,FALSE)</f>
        <v>0</v>
      </c>
      <c r="AG10" s="113">
        <f>VLOOKUP($A10,Alimentos!$A:$BA,33,FALSE)</f>
        <v>0</v>
      </c>
      <c r="AH10" s="113">
        <f>VLOOKUP($A10,Alimentos!$A:$BA,34,FALSE)</f>
        <v>0</v>
      </c>
      <c r="AI10" s="113">
        <f>VLOOKUP($A10,Alimentos!$A:$BA,35,FALSE)</f>
        <v>0</v>
      </c>
      <c r="AJ10" s="113">
        <f>VLOOKUP($A10,Alimentos!$A:$BA,36,FALSE)</f>
        <v>0</v>
      </c>
      <c r="AK10" s="113">
        <f>VLOOKUP($A10,Alimentos!$A:$BA,37,FALSE)</f>
        <v>0</v>
      </c>
      <c r="AL10" s="113">
        <f>VLOOKUP($A10,Alimentos!$A:$BA,38,FALSE)</f>
        <v>0</v>
      </c>
      <c r="AM10" s="113">
        <f>VLOOKUP($A10,Alimentos!$A:$BA,39,FALSE)</f>
        <v>0</v>
      </c>
      <c r="AN10" s="113">
        <f>VLOOKUP($A10,Alimentos!$A:$BA,40,FALSE)</f>
        <v>0</v>
      </c>
      <c r="AO10" s="113">
        <f>VLOOKUP($A10,Alimentos!$A:$BA,41,FALSE)</f>
        <v>0</v>
      </c>
      <c r="AP10" s="113">
        <f>VLOOKUP($A10,Alimentos!$A:$BA,42,FALSE)</f>
        <v>0</v>
      </c>
      <c r="AQ10" s="113">
        <f>VLOOKUP($A10,Alimentos!$A:$BA,43,FALSE)</f>
        <v>0</v>
      </c>
      <c r="AR10" s="113">
        <f>VLOOKUP($A10,Alimentos!$A:$BA,44,FALSE)</f>
        <v>0</v>
      </c>
      <c r="AS10" s="113">
        <f>VLOOKUP($A10,Alimentos!$A:$BA,45,FALSE)</f>
        <v>0</v>
      </c>
    </row>
    <row r="11" spans="1:47" x14ac:dyDescent="0.25">
      <c r="A11" s="108" t="s">
        <v>60</v>
      </c>
      <c r="B11" s="109">
        <f>VLOOKUP($A11,Alimentos!$A:$BA,2,FALSE)</f>
        <v>0</v>
      </c>
      <c r="C11" s="114">
        <f>VLOOKUP($A11,Alimentos!$A:$BA,4,FALSE)</f>
        <v>0</v>
      </c>
      <c r="E11" s="111">
        <f>VLOOKUP($A11,Alimentos!$A:$BA,5,FALSE)</f>
        <v>0</v>
      </c>
      <c r="F11" s="111">
        <f>VLOOKUP($A11,Alimentos!$A:$BA,6,FALSE)</f>
        <v>0</v>
      </c>
      <c r="G11" s="111">
        <f>VLOOKUP($A11,Alimentos!$A:$BA,7,FALSE)</f>
        <v>0</v>
      </c>
      <c r="H11" s="111">
        <f>VLOOKUP($A11,Alimentos!$A:$BA,8,FALSE)</f>
        <v>0</v>
      </c>
      <c r="I11" s="111">
        <f>VLOOKUP($A11,Alimentos!$A:$BA,9,FALSE)</f>
        <v>0</v>
      </c>
      <c r="J11" s="111">
        <f>VLOOKUP($A11,Alimentos!$A:$BA,10,FALSE)</f>
        <v>0</v>
      </c>
      <c r="K11" s="111">
        <f>VLOOKUP($A11,Alimentos!$A:$BA,11,FALSE)</f>
        <v>0</v>
      </c>
      <c r="L11" s="111">
        <f>VLOOKUP($A11,Alimentos!$A:$BA,12,FALSE)</f>
        <v>0</v>
      </c>
      <c r="M11" s="111">
        <f>VLOOKUP($A11,Alimentos!$A:$BA,13,FALSE)</f>
        <v>0</v>
      </c>
      <c r="N11" s="111">
        <f>VLOOKUP($A11,Alimentos!$A:$BA,14,FALSE)</f>
        <v>0</v>
      </c>
      <c r="O11" s="90">
        <f>VLOOKUP($A11,Alimentos!$A:$BA,15,FALSE)</f>
        <v>0</v>
      </c>
      <c r="P11" s="111">
        <f>VLOOKUP($A11,Alimentos!$A:$BA,16,FALSE)</f>
        <v>0</v>
      </c>
      <c r="Q11" s="111">
        <f>VLOOKUP($A11,Alimentos!$A:$BA,17,FALSE)</f>
        <v>0</v>
      </c>
      <c r="R11" s="111">
        <f>VLOOKUP($A11,Alimentos!$A:$BA,18,FALSE)</f>
        <v>0</v>
      </c>
      <c r="S11" s="111">
        <f>VLOOKUP($A11,Alimentos!$A:$BA,19,FALSE)</f>
        <v>0</v>
      </c>
      <c r="T11" s="111">
        <f>VLOOKUP($A11,Alimentos!$A:$BA,20,FALSE)</f>
        <v>0</v>
      </c>
      <c r="U11" s="111">
        <f>VLOOKUP($A11,Alimentos!$A:$BA,21,FALSE)</f>
        <v>0</v>
      </c>
      <c r="V11" s="111">
        <f>VLOOKUP($A11,Alimentos!$A:$BA,22,FALSE)</f>
        <v>0</v>
      </c>
      <c r="W11" s="112">
        <f>VLOOKUP($A11,Alimentos!$A:$BA,23,FALSE)</f>
        <v>0</v>
      </c>
      <c r="X11" s="112">
        <f>VLOOKUP($A11,Alimentos!$A:$BA,24,FALSE)</f>
        <v>0</v>
      </c>
      <c r="Y11" s="112">
        <f>VLOOKUP($A11,Alimentos!$A:$BA,25,FALSE)</f>
        <v>0</v>
      </c>
      <c r="Z11" s="112">
        <f>VLOOKUP($A11,Alimentos!$A:$BA,26,FALSE)</f>
        <v>0</v>
      </c>
      <c r="AA11" s="112">
        <f>VLOOKUP($A11,Alimentos!$A:$BA,27,FALSE)</f>
        <v>0</v>
      </c>
      <c r="AB11" s="112">
        <f>VLOOKUP($A11,Alimentos!$A:$BA,28,FALSE)</f>
        <v>0</v>
      </c>
      <c r="AC11" s="112">
        <f>VLOOKUP($A11,Alimentos!$A:$BA,29,FALSE)</f>
        <v>0</v>
      </c>
      <c r="AD11" s="112">
        <f>VLOOKUP($A11,Alimentos!$A:$BA,30,FALSE)</f>
        <v>0</v>
      </c>
      <c r="AE11" s="112">
        <f>VLOOKUP($A11,Alimentos!$A:$BA,31,FALSE)</f>
        <v>0</v>
      </c>
      <c r="AF11" s="113">
        <f>VLOOKUP($A11,Alimentos!$A:$BA,32,FALSE)</f>
        <v>0</v>
      </c>
      <c r="AG11" s="113">
        <f>VLOOKUP($A11,Alimentos!$A:$BA,33,FALSE)</f>
        <v>0</v>
      </c>
      <c r="AH11" s="113">
        <f>VLOOKUP($A11,Alimentos!$A:$BA,34,FALSE)</f>
        <v>0</v>
      </c>
      <c r="AI11" s="113">
        <f>VLOOKUP($A11,Alimentos!$A:$BA,35,FALSE)</f>
        <v>0</v>
      </c>
      <c r="AJ11" s="113">
        <f>VLOOKUP($A11,Alimentos!$A:$BA,36,FALSE)</f>
        <v>0</v>
      </c>
      <c r="AK11" s="113">
        <f>VLOOKUP($A11,Alimentos!$A:$BA,37,FALSE)</f>
        <v>0</v>
      </c>
      <c r="AL11" s="113">
        <f>VLOOKUP($A11,Alimentos!$A:$BA,38,FALSE)</f>
        <v>0</v>
      </c>
      <c r="AM11" s="113">
        <f>VLOOKUP($A11,Alimentos!$A:$BA,39,FALSE)</f>
        <v>0</v>
      </c>
      <c r="AN11" s="113">
        <f>VLOOKUP($A11,Alimentos!$A:$BA,40,FALSE)</f>
        <v>0</v>
      </c>
      <c r="AO11" s="113">
        <f>VLOOKUP($A11,Alimentos!$A:$BA,41,FALSE)</f>
        <v>0</v>
      </c>
      <c r="AP11" s="113">
        <f>VLOOKUP($A11,Alimentos!$A:$BA,42,FALSE)</f>
        <v>0</v>
      </c>
      <c r="AQ11" s="113">
        <f>VLOOKUP($A11,Alimentos!$A:$BA,43,FALSE)</f>
        <v>0</v>
      </c>
      <c r="AR11" s="113">
        <f>VLOOKUP($A11,Alimentos!$A:$BA,44,FALSE)</f>
        <v>0</v>
      </c>
      <c r="AS11" s="113">
        <f>VLOOKUP($A11,Alimentos!$A:$BA,45,FALSE)</f>
        <v>0</v>
      </c>
    </row>
    <row r="12" spans="1:47" x14ac:dyDescent="0.25">
      <c r="A12" s="108" t="s">
        <v>60</v>
      </c>
      <c r="B12" s="109">
        <f>VLOOKUP($A12,Alimentos!$A:$BA,2,FALSE)</f>
        <v>0</v>
      </c>
      <c r="C12" s="114">
        <f>VLOOKUP($A12,Alimentos!$A:$BA,4,FALSE)</f>
        <v>0</v>
      </c>
      <c r="E12" s="111">
        <f>VLOOKUP($A12,Alimentos!$A:$BA,5,FALSE)</f>
        <v>0</v>
      </c>
      <c r="F12" s="111">
        <f>VLOOKUP($A12,Alimentos!$A:$BA,6,FALSE)</f>
        <v>0</v>
      </c>
      <c r="G12" s="111">
        <f>VLOOKUP($A12,Alimentos!$A:$BA,7,FALSE)</f>
        <v>0</v>
      </c>
      <c r="H12" s="111">
        <f>VLOOKUP($A12,Alimentos!$A:$BA,8,FALSE)</f>
        <v>0</v>
      </c>
      <c r="I12" s="111">
        <f>VLOOKUP($A12,Alimentos!$A:$BA,9,FALSE)</f>
        <v>0</v>
      </c>
      <c r="J12" s="111">
        <f>VLOOKUP($A12,Alimentos!$A:$BA,10,FALSE)</f>
        <v>0</v>
      </c>
      <c r="K12" s="111">
        <f>VLOOKUP($A12,Alimentos!$A:$BA,11,FALSE)</f>
        <v>0</v>
      </c>
      <c r="L12" s="111">
        <f>VLOOKUP($A12,Alimentos!$A:$BA,12,FALSE)</f>
        <v>0</v>
      </c>
      <c r="M12" s="111">
        <f>VLOOKUP($A12,Alimentos!$A:$BA,13,FALSE)</f>
        <v>0</v>
      </c>
      <c r="N12" s="111">
        <f>VLOOKUP($A12,Alimentos!$A:$BA,14,FALSE)</f>
        <v>0</v>
      </c>
      <c r="O12" s="90">
        <f>VLOOKUP($A12,Alimentos!$A:$BA,15,FALSE)</f>
        <v>0</v>
      </c>
      <c r="P12" s="111">
        <f>VLOOKUP($A12,Alimentos!$A:$BA,16,FALSE)</f>
        <v>0</v>
      </c>
      <c r="Q12" s="111">
        <f>VLOOKUP($A12,Alimentos!$A:$BA,17,FALSE)</f>
        <v>0</v>
      </c>
      <c r="R12" s="111">
        <f>VLOOKUP($A12,Alimentos!$A:$BA,18,FALSE)</f>
        <v>0</v>
      </c>
      <c r="S12" s="111">
        <f>VLOOKUP($A12,Alimentos!$A:$BA,19,FALSE)</f>
        <v>0</v>
      </c>
      <c r="T12" s="111">
        <f>VLOOKUP($A12,Alimentos!$A:$BA,20,FALSE)</f>
        <v>0</v>
      </c>
      <c r="U12" s="111">
        <f>VLOOKUP($A12,Alimentos!$A:$BA,21,FALSE)</f>
        <v>0</v>
      </c>
      <c r="V12" s="111">
        <f>VLOOKUP($A12,Alimentos!$A:$BA,22,FALSE)</f>
        <v>0</v>
      </c>
      <c r="W12" s="112">
        <f>VLOOKUP($A12,Alimentos!$A:$BA,23,FALSE)</f>
        <v>0</v>
      </c>
      <c r="X12" s="112">
        <f>VLOOKUP($A12,Alimentos!$A:$BA,24,FALSE)</f>
        <v>0</v>
      </c>
      <c r="Y12" s="112">
        <f>VLOOKUP($A12,Alimentos!$A:$BA,25,FALSE)</f>
        <v>0</v>
      </c>
      <c r="Z12" s="112">
        <f>VLOOKUP($A12,Alimentos!$A:$BA,26,FALSE)</f>
        <v>0</v>
      </c>
      <c r="AA12" s="112">
        <f>VLOOKUP($A12,Alimentos!$A:$BA,27,FALSE)</f>
        <v>0</v>
      </c>
      <c r="AB12" s="112">
        <f>VLOOKUP($A12,Alimentos!$A:$BA,28,FALSE)</f>
        <v>0</v>
      </c>
      <c r="AC12" s="112">
        <f>VLOOKUP($A12,Alimentos!$A:$BA,29,FALSE)</f>
        <v>0</v>
      </c>
      <c r="AD12" s="112">
        <f>VLOOKUP($A12,Alimentos!$A:$BA,30,FALSE)</f>
        <v>0</v>
      </c>
      <c r="AE12" s="112">
        <f>VLOOKUP($A12,Alimentos!$A:$BA,31,FALSE)</f>
        <v>0</v>
      </c>
      <c r="AF12" s="113">
        <f>VLOOKUP($A12,Alimentos!$A:$BA,32,FALSE)</f>
        <v>0</v>
      </c>
      <c r="AG12" s="113">
        <f>VLOOKUP($A12,Alimentos!$A:$BA,33,FALSE)</f>
        <v>0</v>
      </c>
      <c r="AH12" s="113">
        <f>VLOOKUP($A12,Alimentos!$A:$BA,34,FALSE)</f>
        <v>0</v>
      </c>
      <c r="AI12" s="113">
        <f>VLOOKUP($A12,Alimentos!$A:$BA,35,FALSE)</f>
        <v>0</v>
      </c>
      <c r="AJ12" s="113">
        <f>VLOOKUP($A12,Alimentos!$A:$BA,36,FALSE)</f>
        <v>0</v>
      </c>
      <c r="AK12" s="113">
        <f>VLOOKUP($A12,Alimentos!$A:$BA,37,FALSE)</f>
        <v>0</v>
      </c>
      <c r="AL12" s="113">
        <f>VLOOKUP($A12,Alimentos!$A:$BA,38,FALSE)</f>
        <v>0</v>
      </c>
      <c r="AM12" s="113">
        <f>VLOOKUP($A12,Alimentos!$A:$BA,39,FALSE)</f>
        <v>0</v>
      </c>
      <c r="AN12" s="113">
        <f>VLOOKUP($A12,Alimentos!$A:$BA,40,FALSE)</f>
        <v>0</v>
      </c>
      <c r="AO12" s="113">
        <f>VLOOKUP($A12,Alimentos!$A:$BA,41,FALSE)</f>
        <v>0</v>
      </c>
      <c r="AP12" s="113">
        <f>VLOOKUP($A12,Alimentos!$A:$BA,42,FALSE)</f>
        <v>0</v>
      </c>
      <c r="AQ12" s="113">
        <f>VLOOKUP($A12,Alimentos!$A:$BA,43,FALSE)</f>
        <v>0</v>
      </c>
      <c r="AR12" s="113">
        <f>VLOOKUP($A12,Alimentos!$A:$BA,44,FALSE)</f>
        <v>0</v>
      </c>
      <c r="AS12" s="113">
        <f>VLOOKUP($A12,Alimentos!$A:$BA,45,FALSE)</f>
        <v>0</v>
      </c>
    </row>
    <row r="13" spans="1:47" x14ac:dyDescent="0.25">
      <c r="A13" s="108" t="s">
        <v>60</v>
      </c>
      <c r="B13" s="109">
        <f>VLOOKUP($A13,Alimentos!$A:$BA,2,FALSE)</f>
        <v>0</v>
      </c>
      <c r="C13" s="114">
        <f>VLOOKUP($A13,Alimentos!$A:$BA,4,FALSE)</f>
        <v>0</v>
      </c>
      <c r="E13" s="111">
        <f>VLOOKUP($A13,Alimentos!$A:$BA,5,FALSE)</f>
        <v>0</v>
      </c>
      <c r="F13" s="111">
        <f>VLOOKUP($A13,Alimentos!$A:$BA,6,FALSE)</f>
        <v>0</v>
      </c>
      <c r="G13" s="111">
        <f>VLOOKUP($A13,Alimentos!$A:$BA,7,FALSE)</f>
        <v>0</v>
      </c>
      <c r="H13" s="111">
        <f>VLOOKUP($A13,Alimentos!$A:$BA,8,FALSE)</f>
        <v>0</v>
      </c>
      <c r="I13" s="111">
        <f>VLOOKUP($A13,Alimentos!$A:$BA,9,FALSE)</f>
        <v>0</v>
      </c>
      <c r="J13" s="111">
        <f>VLOOKUP($A13,Alimentos!$A:$BA,10,FALSE)</f>
        <v>0</v>
      </c>
      <c r="K13" s="111">
        <f>VLOOKUP($A13,Alimentos!$A:$BA,11,FALSE)</f>
        <v>0</v>
      </c>
      <c r="L13" s="111">
        <f>VLOOKUP($A13,Alimentos!$A:$BA,12,FALSE)</f>
        <v>0</v>
      </c>
      <c r="M13" s="111">
        <f>VLOOKUP($A13,Alimentos!$A:$BA,13,FALSE)</f>
        <v>0</v>
      </c>
      <c r="N13" s="111">
        <f>VLOOKUP($A13,Alimentos!$A:$BA,14,FALSE)</f>
        <v>0</v>
      </c>
      <c r="O13" s="90">
        <f>VLOOKUP($A13,Alimentos!$A:$BA,15,FALSE)</f>
        <v>0</v>
      </c>
      <c r="P13" s="111">
        <f>VLOOKUP($A13,Alimentos!$A:$BA,16,FALSE)</f>
        <v>0</v>
      </c>
      <c r="Q13" s="111">
        <f>VLOOKUP($A13,Alimentos!$A:$BA,17,FALSE)</f>
        <v>0</v>
      </c>
      <c r="R13" s="111">
        <f>VLOOKUP($A13,Alimentos!$A:$BA,18,FALSE)</f>
        <v>0</v>
      </c>
      <c r="S13" s="111">
        <f>VLOOKUP($A13,Alimentos!$A:$BA,19,FALSE)</f>
        <v>0</v>
      </c>
      <c r="T13" s="111">
        <f>VLOOKUP($A13,Alimentos!$A:$BA,20,FALSE)</f>
        <v>0</v>
      </c>
      <c r="U13" s="111">
        <f>VLOOKUP($A13,Alimentos!$A:$BA,21,FALSE)</f>
        <v>0</v>
      </c>
      <c r="V13" s="111">
        <f>VLOOKUP($A13,Alimentos!$A:$BA,22,FALSE)</f>
        <v>0</v>
      </c>
      <c r="W13" s="112">
        <f>VLOOKUP($A13,Alimentos!$A:$BA,23,FALSE)</f>
        <v>0</v>
      </c>
      <c r="X13" s="112">
        <f>VLOOKUP($A13,Alimentos!$A:$BA,24,FALSE)</f>
        <v>0</v>
      </c>
      <c r="Y13" s="112">
        <f>VLOOKUP($A13,Alimentos!$A:$BA,25,FALSE)</f>
        <v>0</v>
      </c>
      <c r="Z13" s="112">
        <f>VLOOKUP($A13,Alimentos!$A:$BA,26,FALSE)</f>
        <v>0</v>
      </c>
      <c r="AA13" s="112">
        <f>VLOOKUP($A13,Alimentos!$A:$BA,27,FALSE)</f>
        <v>0</v>
      </c>
      <c r="AB13" s="112">
        <f>VLOOKUP($A13,Alimentos!$A:$BA,28,FALSE)</f>
        <v>0</v>
      </c>
      <c r="AC13" s="112">
        <f>VLOOKUP($A13,Alimentos!$A:$BA,29,FALSE)</f>
        <v>0</v>
      </c>
      <c r="AD13" s="112">
        <f>VLOOKUP($A13,Alimentos!$A:$BA,30,FALSE)</f>
        <v>0</v>
      </c>
      <c r="AE13" s="112">
        <f>VLOOKUP($A13,Alimentos!$A:$BA,31,FALSE)</f>
        <v>0</v>
      </c>
      <c r="AF13" s="113">
        <f>VLOOKUP($A13,Alimentos!$A:$BA,32,FALSE)</f>
        <v>0</v>
      </c>
      <c r="AG13" s="113">
        <f>VLOOKUP($A13,Alimentos!$A:$BA,33,FALSE)</f>
        <v>0</v>
      </c>
      <c r="AH13" s="113">
        <f>VLOOKUP($A13,Alimentos!$A:$BA,34,FALSE)</f>
        <v>0</v>
      </c>
      <c r="AI13" s="113">
        <f>VLOOKUP($A13,Alimentos!$A:$BA,35,FALSE)</f>
        <v>0</v>
      </c>
      <c r="AJ13" s="113">
        <f>VLOOKUP($A13,Alimentos!$A:$BA,36,FALSE)</f>
        <v>0</v>
      </c>
      <c r="AK13" s="113">
        <f>VLOOKUP($A13,Alimentos!$A:$BA,37,FALSE)</f>
        <v>0</v>
      </c>
      <c r="AL13" s="113">
        <f>VLOOKUP($A13,Alimentos!$A:$BA,38,FALSE)</f>
        <v>0</v>
      </c>
      <c r="AM13" s="115">
        <f>VLOOKUP($A13,Alimentos!$A:$BA,39,FALSE)</f>
        <v>0</v>
      </c>
      <c r="AN13" s="115">
        <f>VLOOKUP($A13,Alimentos!$A:$BA,40,FALSE)</f>
        <v>0</v>
      </c>
      <c r="AO13" s="115">
        <f>VLOOKUP($A13,Alimentos!$A:$BA,41,FALSE)</f>
        <v>0</v>
      </c>
      <c r="AP13" s="113">
        <f>VLOOKUP($A13,Alimentos!$A:$BA,42,FALSE)</f>
        <v>0</v>
      </c>
      <c r="AQ13" s="113">
        <f>VLOOKUP($A13,Alimentos!$A:$BA,43,FALSE)</f>
        <v>0</v>
      </c>
      <c r="AR13" s="113">
        <f>VLOOKUP($A13,Alimentos!$A:$BA,44,FALSE)</f>
        <v>0</v>
      </c>
      <c r="AS13" s="113">
        <f>VLOOKUP($A13,Alimentos!$A:$BA,45,FALSE)</f>
        <v>0</v>
      </c>
    </row>
    <row r="14" spans="1:47" x14ac:dyDescent="0.25">
      <c r="A14" s="108" t="s">
        <v>60</v>
      </c>
      <c r="B14" s="109">
        <f>VLOOKUP($A14,Alimentos!$A:$BA,2,FALSE)</f>
        <v>0</v>
      </c>
      <c r="C14" s="114">
        <f>VLOOKUP($A14,Alimentos!$A:$BA,4,FALSE)</f>
        <v>0</v>
      </c>
      <c r="E14" s="111">
        <f>VLOOKUP($A14,Alimentos!$A:$BA,5,FALSE)</f>
        <v>0</v>
      </c>
      <c r="F14" s="111">
        <f>VLOOKUP($A14,Alimentos!$A:$BA,6,FALSE)</f>
        <v>0</v>
      </c>
      <c r="G14" s="111">
        <f>VLOOKUP($A14,Alimentos!$A:$BA,7,FALSE)</f>
        <v>0</v>
      </c>
      <c r="H14" s="111">
        <f>VLOOKUP($A14,Alimentos!$A:$BA,8,FALSE)</f>
        <v>0</v>
      </c>
      <c r="I14" s="111">
        <f>VLOOKUP($A14,Alimentos!$A:$BA,9,FALSE)</f>
        <v>0</v>
      </c>
      <c r="J14" s="111">
        <f>VLOOKUP($A14,Alimentos!$A:$BA,10,FALSE)</f>
        <v>0</v>
      </c>
      <c r="K14" s="111">
        <f>VLOOKUP($A14,Alimentos!$A:$BA,11,FALSE)</f>
        <v>0</v>
      </c>
      <c r="L14" s="111">
        <f>VLOOKUP($A14,Alimentos!$A:$BA,12,FALSE)</f>
        <v>0</v>
      </c>
      <c r="M14" s="111">
        <f>VLOOKUP($A14,Alimentos!$A:$BA,13,FALSE)</f>
        <v>0</v>
      </c>
      <c r="N14" s="111">
        <f>VLOOKUP($A14,Alimentos!$A:$BA,14,FALSE)</f>
        <v>0</v>
      </c>
      <c r="O14" s="90">
        <f>VLOOKUP($A14,Alimentos!$A:$BA,15,FALSE)</f>
        <v>0</v>
      </c>
      <c r="P14" s="111">
        <f>VLOOKUP($A14,Alimentos!$A:$BA,16,FALSE)</f>
        <v>0</v>
      </c>
      <c r="Q14" s="111">
        <f>VLOOKUP($A14,Alimentos!$A:$BA,17,FALSE)</f>
        <v>0</v>
      </c>
      <c r="R14" s="111">
        <f>VLOOKUP($A14,Alimentos!$A:$BA,18,FALSE)</f>
        <v>0</v>
      </c>
      <c r="S14" s="111">
        <f>VLOOKUP($A14,Alimentos!$A:$BA,19,FALSE)</f>
        <v>0</v>
      </c>
      <c r="T14" s="111">
        <f>VLOOKUP($A14,Alimentos!$A:$BA,20,FALSE)</f>
        <v>0</v>
      </c>
      <c r="U14" s="111">
        <f>VLOOKUP($A14,Alimentos!$A:$BA,21,FALSE)</f>
        <v>0</v>
      </c>
      <c r="V14" s="111">
        <f>VLOOKUP($A14,Alimentos!$A:$BA,22,FALSE)</f>
        <v>0</v>
      </c>
      <c r="W14" s="112">
        <f>VLOOKUP($A14,Alimentos!$A:$BA,23,FALSE)</f>
        <v>0</v>
      </c>
      <c r="X14" s="112">
        <f>VLOOKUP($A14,Alimentos!$A:$BA,24,FALSE)</f>
        <v>0</v>
      </c>
      <c r="Y14" s="112">
        <f>VLOOKUP($A14,Alimentos!$A:$BA,25,FALSE)</f>
        <v>0</v>
      </c>
      <c r="Z14" s="112">
        <f>VLOOKUP($A14,Alimentos!$A:$BA,26,FALSE)</f>
        <v>0</v>
      </c>
      <c r="AA14" s="112">
        <f>VLOOKUP($A14,Alimentos!$A:$BA,27,FALSE)</f>
        <v>0</v>
      </c>
      <c r="AB14" s="112">
        <f>VLOOKUP($A14,Alimentos!$A:$BA,28,FALSE)</f>
        <v>0</v>
      </c>
      <c r="AC14" s="112">
        <f>VLOOKUP($A14,Alimentos!$A:$BA,29,FALSE)</f>
        <v>0</v>
      </c>
      <c r="AD14" s="112">
        <f>VLOOKUP($A14,Alimentos!$A:$BA,30,FALSE)</f>
        <v>0</v>
      </c>
      <c r="AE14" s="112">
        <f>VLOOKUP($A14,Alimentos!$A:$BA,31,FALSE)</f>
        <v>0</v>
      </c>
      <c r="AF14" s="113">
        <f>VLOOKUP($A14,Alimentos!$A:$BA,32,FALSE)</f>
        <v>0</v>
      </c>
      <c r="AG14" s="113">
        <f>VLOOKUP($A14,Alimentos!$A:$BA,33,FALSE)</f>
        <v>0</v>
      </c>
      <c r="AH14" s="113">
        <f>VLOOKUP($A14,Alimentos!$A:$BA,34,FALSE)</f>
        <v>0</v>
      </c>
      <c r="AI14" s="113">
        <f>VLOOKUP($A14,Alimentos!$A:$BA,35,FALSE)</f>
        <v>0</v>
      </c>
      <c r="AJ14" s="113">
        <f>VLOOKUP($A14,Alimentos!$A:$BA,36,FALSE)</f>
        <v>0</v>
      </c>
      <c r="AK14" s="113">
        <f>VLOOKUP($A14,Alimentos!$A:$BA,37,FALSE)</f>
        <v>0</v>
      </c>
      <c r="AL14" s="113">
        <f>VLOOKUP($A14,Alimentos!$A:$BA,38,FALSE)</f>
        <v>0</v>
      </c>
      <c r="AM14" s="113">
        <f>VLOOKUP($A14,Alimentos!$A:$BA,39,FALSE)</f>
        <v>0</v>
      </c>
      <c r="AN14" s="113">
        <f>VLOOKUP($A14,Alimentos!$A:$BA,40,FALSE)</f>
        <v>0</v>
      </c>
      <c r="AO14" s="113">
        <f>VLOOKUP($A14,Alimentos!$A:$BA,41,FALSE)</f>
        <v>0</v>
      </c>
      <c r="AP14" s="113">
        <f>VLOOKUP($A14,Alimentos!$A:$BA,42,FALSE)</f>
        <v>0</v>
      </c>
      <c r="AQ14" s="113">
        <f>VLOOKUP($A14,Alimentos!$A:$BA,43,FALSE)</f>
        <v>0</v>
      </c>
      <c r="AR14" s="113">
        <f>VLOOKUP($A14,Alimentos!$A:$BA,44,FALSE)</f>
        <v>0</v>
      </c>
      <c r="AS14" s="113">
        <f>VLOOKUP($A14,Alimentos!$A:$BA,45,FALSE)</f>
        <v>0</v>
      </c>
    </row>
    <row r="15" spans="1:47" x14ac:dyDescent="0.25">
      <c r="A15" s="108" t="s">
        <v>60</v>
      </c>
      <c r="B15" s="109">
        <f>VLOOKUP($A15,Alimentos!$A:$BA,2,FALSE)</f>
        <v>0</v>
      </c>
      <c r="C15" s="114">
        <f>VLOOKUP($A15,Alimentos!$A:$BA,4,FALSE)</f>
        <v>0</v>
      </c>
      <c r="E15" s="111">
        <f>VLOOKUP($A15,Alimentos!$A:$BA,5,FALSE)</f>
        <v>0</v>
      </c>
      <c r="F15" s="111">
        <f>VLOOKUP($A15,Alimentos!$A:$BA,6,FALSE)</f>
        <v>0</v>
      </c>
      <c r="G15" s="111">
        <f>VLOOKUP($A15,Alimentos!$A:$BA,7,FALSE)</f>
        <v>0</v>
      </c>
      <c r="H15" s="111">
        <f>VLOOKUP($A15,Alimentos!$A:$BA,8,FALSE)</f>
        <v>0</v>
      </c>
      <c r="I15" s="111">
        <f>VLOOKUP($A15,Alimentos!$A:$BA,9,FALSE)</f>
        <v>0</v>
      </c>
      <c r="J15" s="111">
        <f>VLOOKUP($A15,Alimentos!$A:$BA,10,FALSE)</f>
        <v>0</v>
      </c>
      <c r="K15" s="111">
        <f>VLOOKUP($A15,Alimentos!$A:$BA,11,FALSE)</f>
        <v>0</v>
      </c>
      <c r="L15" s="111">
        <f>VLOOKUP($A15,Alimentos!$A:$BA,12,FALSE)</f>
        <v>0</v>
      </c>
      <c r="M15" s="111">
        <f>VLOOKUP($A15,Alimentos!$A:$BA,13,FALSE)</f>
        <v>0</v>
      </c>
      <c r="N15" s="111">
        <f>VLOOKUP($A15,Alimentos!$A:$BA,14,FALSE)</f>
        <v>0</v>
      </c>
      <c r="O15" s="90">
        <f>VLOOKUP($A15,Alimentos!$A:$BA,15,FALSE)</f>
        <v>0</v>
      </c>
      <c r="P15" s="111">
        <f>VLOOKUP($A15,Alimentos!$A:$BA,16,FALSE)</f>
        <v>0</v>
      </c>
      <c r="Q15" s="111">
        <f>VLOOKUP($A15,Alimentos!$A:$BA,17,FALSE)</f>
        <v>0</v>
      </c>
      <c r="R15" s="111">
        <f>VLOOKUP($A15,Alimentos!$A:$BA,18,FALSE)</f>
        <v>0</v>
      </c>
      <c r="S15" s="111">
        <f>VLOOKUP($A15,Alimentos!$A:$BA,19,FALSE)</f>
        <v>0</v>
      </c>
      <c r="T15" s="111">
        <f>VLOOKUP($A15,Alimentos!$A:$BA,20,FALSE)</f>
        <v>0</v>
      </c>
      <c r="U15" s="111">
        <f>VLOOKUP($A15,Alimentos!$A:$BA,21,FALSE)</f>
        <v>0</v>
      </c>
      <c r="V15" s="111">
        <f>VLOOKUP($A15,Alimentos!$A:$BA,22,FALSE)</f>
        <v>0</v>
      </c>
      <c r="W15" s="112">
        <f>VLOOKUP($A15,Alimentos!$A:$BA,23,FALSE)</f>
        <v>0</v>
      </c>
      <c r="X15" s="112">
        <f>VLOOKUP($A15,Alimentos!$A:$BA,24,FALSE)</f>
        <v>0</v>
      </c>
      <c r="Y15" s="112">
        <f>VLOOKUP($A15,Alimentos!$A:$BA,25,FALSE)</f>
        <v>0</v>
      </c>
      <c r="Z15" s="112">
        <f>VLOOKUP($A15,Alimentos!$A:$BA,26,FALSE)</f>
        <v>0</v>
      </c>
      <c r="AA15" s="112">
        <f>VLOOKUP($A15,Alimentos!$A:$BA,27,FALSE)</f>
        <v>0</v>
      </c>
      <c r="AB15" s="112">
        <f>VLOOKUP($A15,Alimentos!$A:$BA,28,FALSE)</f>
        <v>0</v>
      </c>
      <c r="AC15" s="112">
        <f>VLOOKUP($A15,Alimentos!$A:$BA,29,FALSE)</f>
        <v>0</v>
      </c>
      <c r="AD15" s="112">
        <f>VLOOKUP($A15,Alimentos!$A:$BA,30,FALSE)</f>
        <v>0</v>
      </c>
      <c r="AE15" s="112">
        <f>VLOOKUP($A15,Alimentos!$A:$BA,31,FALSE)</f>
        <v>0</v>
      </c>
      <c r="AF15" s="113">
        <f>VLOOKUP($A15,Alimentos!$A:$BA,32,FALSE)</f>
        <v>0</v>
      </c>
      <c r="AG15" s="113">
        <f>VLOOKUP($A15,Alimentos!$A:$BA,33,FALSE)</f>
        <v>0</v>
      </c>
      <c r="AH15" s="113">
        <f>VLOOKUP($A15,Alimentos!$A:$BA,34,FALSE)</f>
        <v>0</v>
      </c>
      <c r="AI15" s="113">
        <f>VLOOKUP($A15,Alimentos!$A:$BA,35,FALSE)</f>
        <v>0</v>
      </c>
      <c r="AJ15" s="113">
        <f>VLOOKUP($A15,Alimentos!$A:$BA,36,FALSE)</f>
        <v>0</v>
      </c>
      <c r="AK15" s="113">
        <f>VLOOKUP($A15,Alimentos!$A:$BA,37,FALSE)</f>
        <v>0</v>
      </c>
      <c r="AL15" s="113">
        <f>VLOOKUP($A15,Alimentos!$A:$BA,38,FALSE)</f>
        <v>0</v>
      </c>
      <c r="AM15" s="113">
        <f>VLOOKUP($A15,Alimentos!$A:$BA,39,FALSE)</f>
        <v>0</v>
      </c>
      <c r="AN15" s="113">
        <f>VLOOKUP($A15,Alimentos!$A:$BA,40,FALSE)</f>
        <v>0</v>
      </c>
      <c r="AO15" s="113">
        <f>VLOOKUP($A15,Alimentos!$A:$BA,41,FALSE)</f>
        <v>0</v>
      </c>
      <c r="AP15" s="113">
        <f>VLOOKUP($A15,Alimentos!$A:$BA,42,FALSE)</f>
        <v>0</v>
      </c>
      <c r="AQ15" s="113">
        <f>VLOOKUP($A15,Alimentos!$A:$BA,43,FALSE)</f>
        <v>0</v>
      </c>
      <c r="AR15" s="113">
        <f>VLOOKUP($A15,Alimentos!$A:$BA,44,FALSE)</f>
        <v>0</v>
      </c>
      <c r="AS15" s="113">
        <f>VLOOKUP($A15,Alimentos!$A:$BA,45,FALSE)</f>
        <v>0</v>
      </c>
    </row>
    <row r="16" spans="1:47" x14ac:dyDescent="0.25">
      <c r="A16" s="108" t="s">
        <v>60</v>
      </c>
      <c r="B16" s="109">
        <f>VLOOKUP($A16,Alimentos!$A:$BA,2,FALSE)</f>
        <v>0</v>
      </c>
      <c r="C16" s="114">
        <f>VLOOKUP($A16,Alimentos!$A:$BA,4,FALSE)</f>
        <v>0</v>
      </c>
      <c r="E16" s="111">
        <f>VLOOKUP($A16,Alimentos!$A:$BA,5,FALSE)</f>
        <v>0</v>
      </c>
      <c r="F16" s="111">
        <f>VLOOKUP($A16,Alimentos!$A:$BA,6,FALSE)</f>
        <v>0</v>
      </c>
      <c r="G16" s="111">
        <f>VLOOKUP($A16,Alimentos!$A:$BA,7,FALSE)</f>
        <v>0</v>
      </c>
      <c r="H16" s="111">
        <f>VLOOKUP($A16,Alimentos!$A:$BA,8,FALSE)</f>
        <v>0</v>
      </c>
      <c r="I16" s="111">
        <f>VLOOKUP($A16,Alimentos!$A:$BA,9,FALSE)</f>
        <v>0</v>
      </c>
      <c r="J16" s="111">
        <f>VLOOKUP($A16,Alimentos!$A:$BA,10,FALSE)</f>
        <v>0</v>
      </c>
      <c r="K16" s="111">
        <f>VLOOKUP($A16,Alimentos!$A:$BA,11,FALSE)</f>
        <v>0</v>
      </c>
      <c r="L16" s="111">
        <f>VLOOKUP($A16,Alimentos!$A:$BA,12,FALSE)</f>
        <v>0</v>
      </c>
      <c r="M16" s="111">
        <f>VLOOKUP($A16,Alimentos!$A:$BA,13,FALSE)</f>
        <v>0</v>
      </c>
      <c r="N16" s="111">
        <f>VLOOKUP($A16,Alimentos!$A:$BA,14,FALSE)</f>
        <v>0</v>
      </c>
      <c r="O16" s="90">
        <f>VLOOKUP($A16,Alimentos!$A:$BA,15,FALSE)</f>
        <v>0</v>
      </c>
      <c r="P16" s="111">
        <f>VLOOKUP($A16,Alimentos!$A:$BA,16,FALSE)</f>
        <v>0</v>
      </c>
      <c r="Q16" s="111">
        <f>VLOOKUP($A16,Alimentos!$A:$BA,17,FALSE)</f>
        <v>0</v>
      </c>
      <c r="R16" s="111">
        <f>VLOOKUP($A16,Alimentos!$A:$BA,18,FALSE)</f>
        <v>0</v>
      </c>
      <c r="S16" s="111">
        <f>VLOOKUP($A16,Alimentos!$A:$BA,19,FALSE)</f>
        <v>0</v>
      </c>
      <c r="T16" s="111">
        <f>VLOOKUP($A16,Alimentos!$A:$BA,20,FALSE)</f>
        <v>0</v>
      </c>
      <c r="U16" s="111">
        <f>VLOOKUP($A16,Alimentos!$A:$BA,21,FALSE)</f>
        <v>0</v>
      </c>
      <c r="V16" s="111">
        <f>VLOOKUP($A16,Alimentos!$A:$BA,22,FALSE)</f>
        <v>0</v>
      </c>
      <c r="W16" s="112">
        <f>VLOOKUP($A16,Alimentos!$A:$BA,23,FALSE)</f>
        <v>0</v>
      </c>
      <c r="X16" s="112">
        <f>VLOOKUP($A16,Alimentos!$A:$BA,24,FALSE)</f>
        <v>0</v>
      </c>
      <c r="Y16" s="112">
        <f>VLOOKUP($A16,Alimentos!$A:$BA,25,FALSE)</f>
        <v>0</v>
      </c>
      <c r="Z16" s="112">
        <f>VLOOKUP($A16,Alimentos!$A:$BA,26,FALSE)</f>
        <v>0</v>
      </c>
      <c r="AA16" s="112">
        <f>VLOOKUP($A16,Alimentos!$A:$BA,27,FALSE)</f>
        <v>0</v>
      </c>
      <c r="AB16" s="112">
        <f>VLOOKUP($A16,Alimentos!$A:$BA,28,FALSE)</f>
        <v>0</v>
      </c>
      <c r="AC16" s="112">
        <f>VLOOKUP($A16,Alimentos!$A:$BA,29,FALSE)</f>
        <v>0</v>
      </c>
      <c r="AD16" s="112">
        <f>VLOOKUP($A16,Alimentos!$A:$BA,30,FALSE)</f>
        <v>0</v>
      </c>
      <c r="AE16" s="112">
        <f>VLOOKUP($A16,Alimentos!$A:$BA,31,FALSE)</f>
        <v>0</v>
      </c>
      <c r="AF16" s="113">
        <f>VLOOKUP($A16,Alimentos!$A:$BA,32,FALSE)</f>
        <v>0</v>
      </c>
      <c r="AG16" s="113">
        <f>VLOOKUP($A16,Alimentos!$A:$BA,33,FALSE)</f>
        <v>0</v>
      </c>
      <c r="AH16" s="113">
        <f>VLOOKUP($A16,Alimentos!$A:$BA,34,FALSE)</f>
        <v>0</v>
      </c>
      <c r="AI16" s="113">
        <f>VLOOKUP($A16,Alimentos!$A:$BA,35,FALSE)</f>
        <v>0</v>
      </c>
      <c r="AJ16" s="113">
        <f>VLOOKUP($A16,Alimentos!$A:$BA,36,FALSE)</f>
        <v>0</v>
      </c>
      <c r="AK16" s="113">
        <f>VLOOKUP($A16,Alimentos!$A:$BA,37,FALSE)</f>
        <v>0</v>
      </c>
      <c r="AL16" s="113">
        <f>VLOOKUP($A16,Alimentos!$A:$BA,38,FALSE)</f>
        <v>0</v>
      </c>
      <c r="AM16" s="113">
        <f>VLOOKUP($A16,Alimentos!$A:$BA,39,FALSE)</f>
        <v>0</v>
      </c>
      <c r="AN16" s="113">
        <f>VLOOKUP($A16,Alimentos!$A:$BA,40,FALSE)</f>
        <v>0</v>
      </c>
      <c r="AO16" s="113">
        <f>VLOOKUP($A16,Alimentos!$A:$BA,41,FALSE)</f>
        <v>0</v>
      </c>
      <c r="AP16" s="113">
        <f>VLOOKUP($A16,Alimentos!$A:$BA,42,FALSE)</f>
        <v>0</v>
      </c>
      <c r="AQ16" s="113">
        <f>VLOOKUP($A16,Alimentos!$A:$BA,43,FALSE)</f>
        <v>0</v>
      </c>
      <c r="AR16" s="113">
        <f>VLOOKUP($A16,Alimentos!$A:$BA,44,FALSE)</f>
        <v>0</v>
      </c>
      <c r="AS16" s="113">
        <f>VLOOKUP($A16,Alimentos!$A:$BA,45,FALSE)</f>
        <v>0</v>
      </c>
    </row>
    <row r="17" spans="1:46" x14ac:dyDescent="0.25">
      <c r="A17" s="108" t="s">
        <v>60</v>
      </c>
      <c r="B17" s="109">
        <f>VLOOKUP($A17,Alimentos!$A:$BA,2,FALSE)</f>
        <v>0</v>
      </c>
      <c r="C17" s="114">
        <f>VLOOKUP($A17,Alimentos!$A:$BA,4,FALSE)</f>
        <v>0</v>
      </c>
      <c r="E17" s="111">
        <f>VLOOKUP($A17,Alimentos!$A:$BA,5,FALSE)</f>
        <v>0</v>
      </c>
      <c r="F17" s="111">
        <f>VLOOKUP($A17,Alimentos!$A:$BA,6,FALSE)</f>
        <v>0</v>
      </c>
      <c r="G17" s="111">
        <f>VLOOKUP($A17,Alimentos!$A:$BA,7,FALSE)</f>
        <v>0</v>
      </c>
      <c r="H17" s="111">
        <f>VLOOKUP($A17,Alimentos!$A:$BA,8,FALSE)</f>
        <v>0</v>
      </c>
      <c r="I17" s="111">
        <f>VLOOKUP($A17,Alimentos!$A:$BA,9,FALSE)</f>
        <v>0</v>
      </c>
      <c r="J17" s="111">
        <f>VLOOKUP($A17,Alimentos!$A:$BA,10,FALSE)</f>
        <v>0</v>
      </c>
      <c r="K17" s="111">
        <f>VLOOKUP($A17,Alimentos!$A:$BA,11,FALSE)</f>
        <v>0</v>
      </c>
      <c r="L17" s="111">
        <f>VLOOKUP($A17,Alimentos!$A:$BA,12,FALSE)</f>
        <v>0</v>
      </c>
      <c r="M17" s="111">
        <f>VLOOKUP($A17,Alimentos!$A:$BA,13,FALSE)</f>
        <v>0</v>
      </c>
      <c r="N17" s="111">
        <f>VLOOKUP($A17,Alimentos!$A:$BA,14,FALSE)</f>
        <v>0</v>
      </c>
      <c r="O17" s="90">
        <f>VLOOKUP($A17,Alimentos!$A:$BA,15,FALSE)</f>
        <v>0</v>
      </c>
      <c r="P17" s="111">
        <f>VLOOKUP($A17,Alimentos!$A:$BA,16,FALSE)</f>
        <v>0</v>
      </c>
      <c r="Q17" s="111">
        <f>VLOOKUP($A17,Alimentos!$A:$BA,17,FALSE)</f>
        <v>0</v>
      </c>
      <c r="R17" s="111">
        <f>VLOOKUP($A17,Alimentos!$A:$BA,18,FALSE)</f>
        <v>0</v>
      </c>
      <c r="S17" s="111">
        <f>VLOOKUP($A17,Alimentos!$A:$BA,19,FALSE)</f>
        <v>0</v>
      </c>
      <c r="T17" s="111">
        <f>VLOOKUP($A17,Alimentos!$A:$BA,20,FALSE)</f>
        <v>0</v>
      </c>
      <c r="U17" s="111">
        <f>VLOOKUP($A17,Alimentos!$A:$BA,21,FALSE)</f>
        <v>0</v>
      </c>
      <c r="V17" s="111">
        <f>VLOOKUP($A17,Alimentos!$A:$BA,22,FALSE)</f>
        <v>0</v>
      </c>
      <c r="W17" s="112">
        <f>VLOOKUP($A17,Alimentos!$A:$BA,23,FALSE)</f>
        <v>0</v>
      </c>
      <c r="X17" s="112">
        <f>VLOOKUP($A17,Alimentos!$A:$BA,24,FALSE)</f>
        <v>0</v>
      </c>
      <c r="Y17" s="112">
        <f>VLOOKUP($A17,Alimentos!$A:$BA,25,FALSE)</f>
        <v>0</v>
      </c>
      <c r="Z17" s="112">
        <f>VLOOKUP($A17,Alimentos!$A:$BA,26,FALSE)</f>
        <v>0</v>
      </c>
      <c r="AA17" s="112">
        <f>VLOOKUP($A17,Alimentos!$A:$BA,27,FALSE)</f>
        <v>0</v>
      </c>
      <c r="AB17" s="112">
        <f>VLOOKUP($A17,Alimentos!$A:$BA,28,FALSE)</f>
        <v>0</v>
      </c>
      <c r="AC17" s="112">
        <f>VLOOKUP($A17,Alimentos!$A:$BA,29,FALSE)</f>
        <v>0</v>
      </c>
      <c r="AD17" s="112">
        <f>VLOOKUP($A17,Alimentos!$A:$BA,30,FALSE)</f>
        <v>0</v>
      </c>
      <c r="AE17" s="112">
        <f>VLOOKUP($A17,Alimentos!$A:$BA,31,FALSE)</f>
        <v>0</v>
      </c>
      <c r="AF17" s="113">
        <f>VLOOKUP($A17,Alimentos!$A:$BA,32,FALSE)</f>
        <v>0</v>
      </c>
      <c r="AG17" s="113">
        <f>VLOOKUP($A17,Alimentos!$A:$BA,33,FALSE)</f>
        <v>0</v>
      </c>
      <c r="AH17" s="113">
        <f>VLOOKUP($A17,Alimentos!$A:$BA,34,FALSE)</f>
        <v>0</v>
      </c>
      <c r="AI17" s="113">
        <f>VLOOKUP($A17,Alimentos!$A:$BA,35,FALSE)</f>
        <v>0</v>
      </c>
      <c r="AJ17" s="113">
        <f>VLOOKUP($A17,Alimentos!$A:$BA,36,FALSE)</f>
        <v>0</v>
      </c>
      <c r="AK17" s="113">
        <f>VLOOKUP($A17,Alimentos!$A:$BA,37,FALSE)</f>
        <v>0</v>
      </c>
      <c r="AL17" s="113">
        <f>VLOOKUP($A17,Alimentos!$A:$BA,38,FALSE)</f>
        <v>0</v>
      </c>
      <c r="AM17" s="113">
        <f>VLOOKUP($A17,Alimentos!$A:$BA,39,FALSE)</f>
        <v>0</v>
      </c>
      <c r="AN17" s="113">
        <f>VLOOKUP($A17,Alimentos!$A:$BA,40,FALSE)</f>
        <v>0</v>
      </c>
      <c r="AO17" s="113">
        <f>VLOOKUP($A17,Alimentos!$A:$BA,41,FALSE)</f>
        <v>0</v>
      </c>
      <c r="AP17" s="113">
        <f>VLOOKUP($A17,Alimentos!$A:$BA,42,FALSE)</f>
        <v>0</v>
      </c>
      <c r="AQ17" s="113">
        <f>VLOOKUP($A17,Alimentos!$A:$BA,43,FALSE)</f>
        <v>0</v>
      </c>
      <c r="AR17" s="113">
        <f>VLOOKUP($A17,Alimentos!$A:$BA,44,FALSE)</f>
        <v>0</v>
      </c>
      <c r="AS17" s="113">
        <f>VLOOKUP($A17,Alimentos!$A:$BA,45,FALSE)</f>
        <v>0</v>
      </c>
    </row>
    <row r="18" spans="1:46" x14ac:dyDescent="0.25">
      <c r="A18" s="108" t="s">
        <v>60</v>
      </c>
      <c r="B18" s="109">
        <f>VLOOKUP($A18,Alimentos!$A:$BA,2,FALSE)</f>
        <v>0</v>
      </c>
      <c r="C18" s="114">
        <f>VLOOKUP($A18,Alimentos!$A:$BA,4,FALSE)</f>
        <v>0</v>
      </c>
      <c r="E18" s="111">
        <f>VLOOKUP($A18,Alimentos!$A:$BA,5,FALSE)</f>
        <v>0</v>
      </c>
      <c r="F18" s="111">
        <f>VLOOKUP($A18,Alimentos!$A:$BA,6,FALSE)</f>
        <v>0</v>
      </c>
      <c r="G18" s="111">
        <f>VLOOKUP($A18,Alimentos!$A:$BA,7,FALSE)</f>
        <v>0</v>
      </c>
      <c r="H18" s="111">
        <f>VLOOKUP($A18,Alimentos!$A:$BA,8,FALSE)</f>
        <v>0</v>
      </c>
      <c r="I18" s="111">
        <f>VLOOKUP($A18,Alimentos!$A:$BA,9,FALSE)</f>
        <v>0</v>
      </c>
      <c r="J18" s="111">
        <f>VLOOKUP($A18,Alimentos!$A:$BA,10,FALSE)</f>
        <v>0</v>
      </c>
      <c r="K18" s="111">
        <f>VLOOKUP($A18,Alimentos!$A:$BA,11,FALSE)</f>
        <v>0</v>
      </c>
      <c r="L18" s="111">
        <f>VLOOKUP($A18,Alimentos!$A:$BA,12,FALSE)</f>
        <v>0</v>
      </c>
      <c r="M18" s="111">
        <f>VLOOKUP($A18,Alimentos!$A:$BA,13,FALSE)</f>
        <v>0</v>
      </c>
      <c r="N18" s="111">
        <f>VLOOKUP($A18,Alimentos!$A:$BA,14,FALSE)</f>
        <v>0</v>
      </c>
      <c r="O18" s="90">
        <f>VLOOKUP($A18,Alimentos!$A:$BA,15,FALSE)</f>
        <v>0</v>
      </c>
      <c r="P18" s="111">
        <f>VLOOKUP($A18,Alimentos!$A:$BA,16,FALSE)</f>
        <v>0</v>
      </c>
      <c r="Q18" s="111">
        <f>VLOOKUP($A18,Alimentos!$A:$BA,17,FALSE)</f>
        <v>0</v>
      </c>
      <c r="R18" s="111">
        <f>VLOOKUP($A18,Alimentos!$A:$BA,18,FALSE)</f>
        <v>0</v>
      </c>
      <c r="S18" s="111">
        <f>VLOOKUP($A18,Alimentos!$A:$BA,19,FALSE)</f>
        <v>0</v>
      </c>
      <c r="T18" s="111">
        <f>VLOOKUP($A18,Alimentos!$A:$BA,20,FALSE)</f>
        <v>0</v>
      </c>
      <c r="U18" s="111">
        <f>VLOOKUP($A18,Alimentos!$A:$BA,21,FALSE)</f>
        <v>0</v>
      </c>
      <c r="V18" s="111">
        <f>VLOOKUP($A18,Alimentos!$A:$BA,22,FALSE)</f>
        <v>0</v>
      </c>
      <c r="W18" s="112">
        <f>VLOOKUP($A18,Alimentos!$A:$BA,23,FALSE)</f>
        <v>0</v>
      </c>
      <c r="X18" s="112">
        <f>VLOOKUP($A18,Alimentos!$A:$BA,24,FALSE)</f>
        <v>0</v>
      </c>
      <c r="Y18" s="112">
        <f>VLOOKUP($A18,Alimentos!$A:$BA,25,FALSE)</f>
        <v>0</v>
      </c>
      <c r="Z18" s="112">
        <f>VLOOKUP($A18,Alimentos!$A:$BA,26,FALSE)</f>
        <v>0</v>
      </c>
      <c r="AA18" s="112">
        <f>VLOOKUP($A18,Alimentos!$A:$BA,27,FALSE)</f>
        <v>0</v>
      </c>
      <c r="AB18" s="112">
        <f>VLOOKUP($A18,Alimentos!$A:$BA,28,FALSE)</f>
        <v>0</v>
      </c>
      <c r="AC18" s="112">
        <f>VLOOKUP($A18,Alimentos!$A:$BA,29,FALSE)</f>
        <v>0</v>
      </c>
      <c r="AD18" s="112">
        <f>VLOOKUP($A18,Alimentos!$A:$BA,30,FALSE)</f>
        <v>0</v>
      </c>
      <c r="AE18" s="112">
        <f>VLOOKUP($A18,Alimentos!$A:$BA,31,FALSE)</f>
        <v>0</v>
      </c>
      <c r="AF18" s="113">
        <f>VLOOKUP($A18,Alimentos!$A:$BA,32,FALSE)</f>
        <v>0</v>
      </c>
      <c r="AG18" s="113">
        <f>VLOOKUP($A18,Alimentos!$A:$BA,33,FALSE)</f>
        <v>0</v>
      </c>
      <c r="AH18" s="113">
        <f>VLOOKUP($A18,Alimentos!$A:$BA,34,FALSE)</f>
        <v>0</v>
      </c>
      <c r="AI18" s="113">
        <f>VLOOKUP($A18,Alimentos!$A:$BA,35,FALSE)</f>
        <v>0</v>
      </c>
      <c r="AJ18" s="113">
        <f>VLOOKUP($A18,Alimentos!$A:$BA,36,FALSE)</f>
        <v>0</v>
      </c>
      <c r="AK18" s="113">
        <f>VLOOKUP($A18,Alimentos!$A:$BA,37,FALSE)</f>
        <v>0</v>
      </c>
      <c r="AL18" s="113">
        <f>VLOOKUP($A18,Alimentos!$A:$BA,38,FALSE)</f>
        <v>0</v>
      </c>
      <c r="AM18" s="113">
        <f>VLOOKUP($A18,Alimentos!$A:$BA,39,FALSE)</f>
        <v>0</v>
      </c>
      <c r="AN18" s="113">
        <f>VLOOKUP($A18,Alimentos!$A:$BA,40,FALSE)</f>
        <v>0</v>
      </c>
      <c r="AO18" s="113">
        <f>VLOOKUP($A18,Alimentos!$A:$BA,41,FALSE)</f>
        <v>0</v>
      </c>
      <c r="AP18" s="113">
        <f>VLOOKUP($A18,Alimentos!$A:$BA,42,FALSE)</f>
        <v>0</v>
      </c>
      <c r="AQ18" s="113">
        <f>VLOOKUP($A18,Alimentos!$A:$BA,43,FALSE)</f>
        <v>0</v>
      </c>
      <c r="AR18" s="113">
        <f>VLOOKUP($A18,Alimentos!$A:$BA,44,FALSE)</f>
        <v>0</v>
      </c>
      <c r="AS18" s="113">
        <f>VLOOKUP($A18,Alimentos!$A:$BA,45,FALSE)</f>
        <v>0</v>
      </c>
    </row>
    <row r="19" spans="1:46" x14ac:dyDescent="0.25">
      <c r="A19" s="108" t="s">
        <v>60</v>
      </c>
      <c r="B19" s="109">
        <f>VLOOKUP($A19,Alimentos!$A:$BA,2,FALSE)</f>
        <v>0</v>
      </c>
      <c r="C19" s="114">
        <f>VLOOKUP($A19,Alimentos!$A:$BA,4,FALSE)</f>
        <v>0</v>
      </c>
      <c r="E19" s="111">
        <f>VLOOKUP($A19,Alimentos!$A:$BA,5,FALSE)</f>
        <v>0</v>
      </c>
      <c r="F19" s="111">
        <f>VLOOKUP($A19,Alimentos!$A:$BA,6,FALSE)</f>
        <v>0</v>
      </c>
      <c r="G19" s="111">
        <f>VLOOKUP($A19,Alimentos!$A:$BA,7,FALSE)</f>
        <v>0</v>
      </c>
      <c r="H19" s="111">
        <f>VLOOKUP($A19,Alimentos!$A:$BA,8,FALSE)</f>
        <v>0</v>
      </c>
      <c r="I19" s="111">
        <f>VLOOKUP($A19,Alimentos!$A:$BA,9,FALSE)</f>
        <v>0</v>
      </c>
      <c r="J19" s="111">
        <f>VLOOKUP($A19,Alimentos!$A:$BA,10,FALSE)</f>
        <v>0</v>
      </c>
      <c r="K19" s="111">
        <f>VLOOKUP($A19,Alimentos!$A:$BA,11,FALSE)</f>
        <v>0</v>
      </c>
      <c r="L19" s="111">
        <f>VLOOKUP($A19,Alimentos!$A:$BA,12,FALSE)</f>
        <v>0</v>
      </c>
      <c r="M19" s="111">
        <f>VLOOKUP($A19,Alimentos!$A:$BA,13,FALSE)</f>
        <v>0</v>
      </c>
      <c r="N19" s="111">
        <f>VLOOKUP($A19,Alimentos!$A:$BA,14,FALSE)</f>
        <v>0</v>
      </c>
      <c r="O19" s="90">
        <f>VLOOKUP($A19,Alimentos!$A:$BA,15,FALSE)</f>
        <v>0</v>
      </c>
      <c r="P19" s="111">
        <f>VLOOKUP($A19,Alimentos!$A:$BA,16,FALSE)</f>
        <v>0</v>
      </c>
      <c r="Q19" s="111">
        <f>VLOOKUP($A19,Alimentos!$A:$BA,17,FALSE)</f>
        <v>0</v>
      </c>
      <c r="R19" s="111">
        <f>VLOOKUP($A19,Alimentos!$A:$BA,18,FALSE)</f>
        <v>0</v>
      </c>
      <c r="S19" s="111">
        <f>VLOOKUP($A19,Alimentos!$A:$BA,19,FALSE)</f>
        <v>0</v>
      </c>
      <c r="T19" s="111">
        <f>VLOOKUP($A19,Alimentos!$A:$BA,20,FALSE)</f>
        <v>0</v>
      </c>
      <c r="U19" s="111">
        <f>VLOOKUP($A19,Alimentos!$A:$BA,21,FALSE)</f>
        <v>0</v>
      </c>
      <c r="V19" s="111">
        <f>VLOOKUP($A19,Alimentos!$A:$BA,22,FALSE)</f>
        <v>0</v>
      </c>
      <c r="W19" s="112">
        <f>VLOOKUP($A19,Alimentos!$A:$BA,23,FALSE)</f>
        <v>0</v>
      </c>
      <c r="X19" s="112">
        <f>VLOOKUP($A19,Alimentos!$A:$BA,24,FALSE)</f>
        <v>0</v>
      </c>
      <c r="Y19" s="112">
        <f>VLOOKUP($A19,Alimentos!$A:$BA,25,FALSE)</f>
        <v>0</v>
      </c>
      <c r="Z19" s="112">
        <f>VLOOKUP($A19,Alimentos!$A:$BA,26,FALSE)</f>
        <v>0</v>
      </c>
      <c r="AA19" s="112">
        <f>VLOOKUP($A19,Alimentos!$A:$BA,27,FALSE)</f>
        <v>0</v>
      </c>
      <c r="AB19" s="112">
        <f>VLOOKUP($A19,Alimentos!$A:$BA,28,FALSE)</f>
        <v>0</v>
      </c>
      <c r="AC19" s="112">
        <f>VLOOKUP($A19,Alimentos!$A:$BA,29,FALSE)</f>
        <v>0</v>
      </c>
      <c r="AD19" s="112">
        <f>VLOOKUP($A19,Alimentos!$A:$BA,30,FALSE)</f>
        <v>0</v>
      </c>
      <c r="AE19" s="112">
        <f>VLOOKUP($A19,Alimentos!$A:$BA,31,FALSE)</f>
        <v>0</v>
      </c>
      <c r="AF19" s="113">
        <f>VLOOKUP($A19,Alimentos!$A:$BA,32,FALSE)</f>
        <v>0</v>
      </c>
      <c r="AG19" s="113">
        <f>VLOOKUP($A19,Alimentos!$A:$BA,33,FALSE)</f>
        <v>0</v>
      </c>
      <c r="AH19" s="113">
        <f>VLOOKUP($A19,Alimentos!$A:$BA,34,FALSE)</f>
        <v>0</v>
      </c>
      <c r="AI19" s="113">
        <f>VLOOKUP($A19,Alimentos!$A:$BA,35,FALSE)</f>
        <v>0</v>
      </c>
      <c r="AJ19" s="113">
        <f>VLOOKUP($A19,Alimentos!$A:$BA,36,FALSE)</f>
        <v>0</v>
      </c>
      <c r="AK19" s="113">
        <f>VLOOKUP($A19,Alimentos!$A:$BA,37,FALSE)</f>
        <v>0</v>
      </c>
      <c r="AL19" s="113">
        <f>VLOOKUP($A19,Alimentos!$A:$BA,38,FALSE)</f>
        <v>0</v>
      </c>
      <c r="AM19" s="113">
        <f>VLOOKUP($A19,Alimentos!$A:$BA,39,FALSE)</f>
        <v>0</v>
      </c>
      <c r="AN19" s="113">
        <f>VLOOKUP($A19,Alimentos!$A:$BA,40,FALSE)</f>
        <v>0</v>
      </c>
      <c r="AO19" s="113">
        <f>VLOOKUP($A19,Alimentos!$A:$BA,41,FALSE)</f>
        <v>0</v>
      </c>
      <c r="AP19" s="113">
        <f>VLOOKUP($A19,Alimentos!$A:$BA,42,FALSE)</f>
        <v>0</v>
      </c>
      <c r="AQ19" s="113">
        <f>VLOOKUP($A19,Alimentos!$A:$BA,43,FALSE)</f>
        <v>0</v>
      </c>
      <c r="AR19" s="113">
        <f>VLOOKUP($A19,Alimentos!$A:$BA,44,FALSE)</f>
        <v>0</v>
      </c>
      <c r="AS19" s="113">
        <f>VLOOKUP($A19,Alimentos!$A:$BA,45,FALSE)</f>
        <v>0</v>
      </c>
    </row>
    <row r="20" spans="1:46" x14ac:dyDescent="0.25">
      <c r="A20" s="108" t="s">
        <v>60</v>
      </c>
      <c r="B20" s="109">
        <f>VLOOKUP($A20,Alimentos!$A:$BA,2,FALSE)</f>
        <v>0</v>
      </c>
      <c r="C20" s="114">
        <f>VLOOKUP($A20,Alimentos!$A:$BA,4,FALSE)</f>
        <v>0</v>
      </c>
      <c r="E20" s="111">
        <f>VLOOKUP($A20,Alimentos!$A:$BA,5,FALSE)</f>
        <v>0</v>
      </c>
      <c r="F20" s="111">
        <f>VLOOKUP($A20,Alimentos!$A:$BA,6,FALSE)</f>
        <v>0</v>
      </c>
      <c r="G20" s="111">
        <f>VLOOKUP($A20,Alimentos!$A:$BA,7,FALSE)</f>
        <v>0</v>
      </c>
      <c r="H20" s="111">
        <f>VLOOKUP($A20,Alimentos!$A:$BA,8,FALSE)</f>
        <v>0</v>
      </c>
      <c r="I20" s="111">
        <f>VLOOKUP($A20,Alimentos!$A:$BA,9,FALSE)</f>
        <v>0</v>
      </c>
      <c r="J20" s="111">
        <f>VLOOKUP($A20,Alimentos!$A:$BA,10,FALSE)</f>
        <v>0</v>
      </c>
      <c r="K20" s="111">
        <f>VLOOKUP($A20,Alimentos!$A:$BA,11,FALSE)</f>
        <v>0</v>
      </c>
      <c r="L20" s="111">
        <f>VLOOKUP($A20,Alimentos!$A:$BA,12,FALSE)</f>
        <v>0</v>
      </c>
      <c r="M20" s="111">
        <f>VLOOKUP($A20,Alimentos!$A:$BA,13,FALSE)</f>
        <v>0</v>
      </c>
      <c r="N20" s="111">
        <f>VLOOKUP($A20,Alimentos!$A:$BA,14,FALSE)</f>
        <v>0</v>
      </c>
      <c r="O20" s="90">
        <f>VLOOKUP($A20,Alimentos!$A:$BA,15,FALSE)</f>
        <v>0</v>
      </c>
      <c r="P20" s="111">
        <f>VLOOKUP($A20,Alimentos!$A:$BA,16,FALSE)</f>
        <v>0</v>
      </c>
      <c r="Q20" s="111">
        <f>VLOOKUP($A20,Alimentos!$A:$BA,17,FALSE)</f>
        <v>0</v>
      </c>
      <c r="R20" s="111">
        <f>VLOOKUP($A20,Alimentos!$A:$BA,18,FALSE)</f>
        <v>0</v>
      </c>
      <c r="S20" s="111">
        <f>VLOOKUP($A20,Alimentos!$A:$BA,19,FALSE)</f>
        <v>0</v>
      </c>
      <c r="T20" s="111">
        <f>VLOOKUP($A20,Alimentos!$A:$BA,20,FALSE)</f>
        <v>0</v>
      </c>
      <c r="U20" s="111">
        <f>VLOOKUP($A20,Alimentos!$A:$BA,21,FALSE)</f>
        <v>0</v>
      </c>
      <c r="V20" s="111">
        <f>VLOOKUP($A20,Alimentos!$A:$BA,22,FALSE)</f>
        <v>0</v>
      </c>
      <c r="W20" s="112">
        <f>VLOOKUP($A20,Alimentos!$A:$BA,23,FALSE)</f>
        <v>0</v>
      </c>
      <c r="X20" s="112">
        <f>VLOOKUP($A20,Alimentos!$A:$BA,24,FALSE)</f>
        <v>0</v>
      </c>
      <c r="Y20" s="112">
        <f>VLOOKUP($A20,Alimentos!$A:$BA,25,FALSE)</f>
        <v>0</v>
      </c>
      <c r="Z20" s="112">
        <f>VLOOKUP($A20,Alimentos!$A:$BA,26,FALSE)</f>
        <v>0</v>
      </c>
      <c r="AA20" s="112">
        <f>VLOOKUP($A20,Alimentos!$A:$BA,27,FALSE)</f>
        <v>0</v>
      </c>
      <c r="AB20" s="112">
        <f>VLOOKUP($A20,Alimentos!$A:$BA,28,FALSE)</f>
        <v>0</v>
      </c>
      <c r="AC20" s="112">
        <f>VLOOKUP($A20,Alimentos!$A:$BA,29,FALSE)</f>
        <v>0</v>
      </c>
      <c r="AD20" s="112">
        <f>VLOOKUP($A20,Alimentos!$A:$BA,30,FALSE)</f>
        <v>0</v>
      </c>
      <c r="AE20" s="112">
        <f>VLOOKUP($A20,Alimentos!$A:$BA,31,FALSE)</f>
        <v>0</v>
      </c>
      <c r="AF20" s="113">
        <f>VLOOKUP($A20,Alimentos!$A:$BA,32,FALSE)</f>
        <v>0</v>
      </c>
      <c r="AG20" s="113">
        <f>VLOOKUP($A20,Alimentos!$A:$BA,33,FALSE)</f>
        <v>0</v>
      </c>
      <c r="AH20" s="113">
        <f>VLOOKUP($A20,Alimentos!$A:$BA,34,FALSE)</f>
        <v>0</v>
      </c>
      <c r="AI20" s="113">
        <f>VLOOKUP($A20,Alimentos!$A:$BA,35,FALSE)</f>
        <v>0</v>
      </c>
      <c r="AJ20" s="113">
        <f>VLOOKUP($A20,Alimentos!$A:$BA,36,FALSE)</f>
        <v>0</v>
      </c>
      <c r="AK20" s="113">
        <f>VLOOKUP($A20,Alimentos!$A:$BA,37,FALSE)</f>
        <v>0</v>
      </c>
      <c r="AL20" s="113">
        <f>VLOOKUP($A20,Alimentos!$A:$BA,38,FALSE)</f>
        <v>0</v>
      </c>
      <c r="AM20" s="113">
        <f>VLOOKUP($A20,Alimentos!$A:$BA,39,FALSE)</f>
        <v>0</v>
      </c>
      <c r="AN20" s="113">
        <f>VLOOKUP($A20,Alimentos!$A:$BA,40,FALSE)</f>
        <v>0</v>
      </c>
      <c r="AO20" s="113">
        <f>VLOOKUP($A20,Alimentos!$A:$BA,41,FALSE)</f>
        <v>0</v>
      </c>
      <c r="AP20" s="113">
        <f>VLOOKUP($A20,Alimentos!$A:$BA,42,FALSE)</f>
        <v>0</v>
      </c>
      <c r="AQ20" s="113">
        <f>VLOOKUP($A20,Alimentos!$A:$BA,43,FALSE)</f>
        <v>0</v>
      </c>
      <c r="AR20" s="113">
        <f>VLOOKUP($A20,Alimentos!$A:$BA,44,FALSE)</f>
        <v>0</v>
      </c>
      <c r="AS20" s="113">
        <f>VLOOKUP($A20,Alimentos!$A:$BA,45,FALSE)</f>
        <v>0</v>
      </c>
    </row>
    <row r="21" spans="1:46" ht="17.25" thickBot="1" x14ac:dyDescent="0.3">
      <c r="A21" s="116" t="s">
        <v>60</v>
      </c>
      <c r="B21" s="117">
        <f>VLOOKUP($A21,Alimentos!$A:$BA,2,FALSE)</f>
        <v>0</v>
      </c>
      <c r="C21" s="118">
        <f>VLOOKUP($A21,Alimentos!$A:$BA,4,FALSE)</f>
        <v>0</v>
      </c>
      <c r="D21" s="119"/>
      <c r="E21" s="120">
        <f>VLOOKUP($A21,Alimentos!$A:$BA,5,FALSE)</f>
        <v>0</v>
      </c>
      <c r="F21" s="120">
        <f>VLOOKUP($A21,Alimentos!$A:$BA,6,FALSE)</f>
        <v>0</v>
      </c>
      <c r="G21" s="120">
        <f>VLOOKUP($A21,Alimentos!$A:$BA,7,FALSE)</f>
        <v>0</v>
      </c>
      <c r="H21" s="120">
        <f>VLOOKUP($A21,Alimentos!$A:$BA,8,FALSE)</f>
        <v>0</v>
      </c>
      <c r="I21" s="120">
        <f>VLOOKUP($A21,Alimentos!$A:$BA,9,FALSE)</f>
        <v>0</v>
      </c>
      <c r="J21" s="120">
        <f>VLOOKUP($A21,Alimentos!$A:$BA,10,FALSE)</f>
        <v>0</v>
      </c>
      <c r="K21" s="120">
        <f>VLOOKUP($A21,Alimentos!$A:$BA,11,FALSE)</f>
        <v>0</v>
      </c>
      <c r="L21" s="120">
        <f>VLOOKUP($A21,Alimentos!$A:$BA,12,FALSE)</f>
        <v>0</v>
      </c>
      <c r="M21" s="120">
        <f>VLOOKUP($A21,Alimentos!$A:$BA,13,FALSE)</f>
        <v>0</v>
      </c>
      <c r="N21" s="120">
        <f>VLOOKUP($A21,Alimentos!$A:$BA,14,FALSE)</f>
        <v>0</v>
      </c>
      <c r="O21" s="121">
        <f>VLOOKUP($A21,Alimentos!$A:$BA,15,FALSE)</f>
        <v>0</v>
      </c>
      <c r="P21" s="120">
        <f>VLOOKUP($A21,Alimentos!$A:$BA,16,FALSE)</f>
        <v>0</v>
      </c>
      <c r="Q21" s="120">
        <f>VLOOKUP($A21,Alimentos!$A:$BA,17,FALSE)</f>
        <v>0</v>
      </c>
      <c r="R21" s="120">
        <f>VLOOKUP($A21,Alimentos!$A:$BA,18,FALSE)</f>
        <v>0</v>
      </c>
      <c r="S21" s="120">
        <f>VLOOKUP($A21,Alimentos!$A:$BA,19,FALSE)</f>
        <v>0</v>
      </c>
      <c r="T21" s="120">
        <f>VLOOKUP($A21,Alimentos!$A:$BA,20,FALSE)</f>
        <v>0</v>
      </c>
      <c r="U21" s="120">
        <f>VLOOKUP($A21,Alimentos!$A:$BA,21,FALSE)</f>
        <v>0</v>
      </c>
      <c r="V21" s="120">
        <f>VLOOKUP($A21,Alimentos!$A:$BA,22,FALSE)</f>
        <v>0</v>
      </c>
      <c r="W21" s="122">
        <f>VLOOKUP($A21,Alimentos!$A:$BA,23,FALSE)</f>
        <v>0</v>
      </c>
      <c r="X21" s="122">
        <f>VLOOKUP($A21,Alimentos!$A:$BA,24,FALSE)</f>
        <v>0</v>
      </c>
      <c r="Y21" s="122">
        <f>VLOOKUP($A21,Alimentos!$A:$BA,25,FALSE)</f>
        <v>0</v>
      </c>
      <c r="Z21" s="122">
        <f>VLOOKUP($A21,Alimentos!$A:$BA,26,FALSE)</f>
        <v>0</v>
      </c>
      <c r="AA21" s="122">
        <f>VLOOKUP($A21,Alimentos!$A:$BA,27,FALSE)</f>
        <v>0</v>
      </c>
      <c r="AB21" s="122">
        <f>VLOOKUP($A21,Alimentos!$A:$BA,28,FALSE)</f>
        <v>0</v>
      </c>
      <c r="AC21" s="122">
        <f>VLOOKUP($A21,Alimentos!$A:$BA,29,FALSE)</f>
        <v>0</v>
      </c>
      <c r="AD21" s="122">
        <f>VLOOKUP($A21,Alimentos!$A:$BA,30,FALSE)</f>
        <v>0</v>
      </c>
      <c r="AE21" s="122">
        <f>VLOOKUP($A21,Alimentos!$A:$BA,31,FALSE)</f>
        <v>0</v>
      </c>
      <c r="AF21" s="123">
        <f>VLOOKUP($A21,Alimentos!$A:$BA,32,FALSE)</f>
        <v>0</v>
      </c>
      <c r="AG21" s="123">
        <f>VLOOKUP($A21,Alimentos!$A:$BA,33,FALSE)</f>
        <v>0</v>
      </c>
      <c r="AH21" s="123">
        <f>VLOOKUP($A21,Alimentos!$A:$BA,34,FALSE)</f>
        <v>0</v>
      </c>
      <c r="AI21" s="123">
        <f>VLOOKUP($A21,Alimentos!$A:$BA,35,FALSE)</f>
        <v>0</v>
      </c>
      <c r="AJ21" s="123">
        <f>VLOOKUP($A21,Alimentos!$A:$BA,36,FALSE)</f>
        <v>0</v>
      </c>
      <c r="AK21" s="123">
        <f>VLOOKUP($A21,Alimentos!$A:$BA,37,FALSE)</f>
        <v>0</v>
      </c>
      <c r="AL21" s="123">
        <f>VLOOKUP($A21,Alimentos!$A:$BA,38,FALSE)</f>
        <v>0</v>
      </c>
      <c r="AM21" s="123">
        <f>VLOOKUP($A21,Alimentos!$A:$BA,39,FALSE)</f>
        <v>0</v>
      </c>
      <c r="AN21" s="123">
        <f>VLOOKUP($A21,Alimentos!$A:$BA,40,FALSE)</f>
        <v>0</v>
      </c>
      <c r="AO21" s="123">
        <f>VLOOKUP($A21,Alimentos!$A:$BA,41,FALSE)</f>
        <v>0</v>
      </c>
      <c r="AP21" s="123">
        <f>VLOOKUP($A21,Alimentos!$A:$BA,42,FALSE)</f>
        <v>0</v>
      </c>
      <c r="AQ21" s="123">
        <f>VLOOKUP($A21,Alimentos!$A:$BA,43,FALSE)</f>
        <v>0</v>
      </c>
      <c r="AR21" s="123">
        <f>VLOOKUP($A21,Alimentos!$A:$BA,44,FALSE)</f>
        <v>0</v>
      </c>
      <c r="AS21" s="123">
        <f>VLOOKUP($A21,Alimentos!$A:$BA,45,FALSE)</f>
        <v>0</v>
      </c>
    </row>
    <row r="22" spans="1:46" ht="17.25" thickTop="1" x14ac:dyDescent="0.25">
      <c r="E22" s="82"/>
      <c r="AF22" s="77"/>
      <c r="AG22" s="77"/>
      <c r="AH22" s="77"/>
      <c r="AI22" s="77"/>
    </row>
    <row r="23" spans="1:46" s="98" customFormat="1" x14ac:dyDescent="0.25">
      <c r="A23" s="98" t="s">
        <v>1</v>
      </c>
      <c r="B23" s="85" t="str">
        <f>B4</f>
        <v>R$/Kg MN</v>
      </c>
      <c r="C23" s="85" t="s">
        <v>30</v>
      </c>
      <c r="D23" s="85" t="s">
        <v>3</v>
      </c>
      <c r="E23" s="82" t="s">
        <v>30</v>
      </c>
      <c r="F23" s="85" t="s">
        <v>30</v>
      </c>
      <c r="G23" s="85" t="s">
        <v>30</v>
      </c>
      <c r="H23" s="85" t="s">
        <v>30</v>
      </c>
      <c r="I23" s="85" t="s">
        <v>30</v>
      </c>
      <c r="J23" s="94" t="s">
        <v>30</v>
      </c>
      <c r="K23" s="94" t="s">
        <v>30</v>
      </c>
      <c r="L23" s="94" t="s">
        <v>30</v>
      </c>
      <c r="M23" s="85" t="s">
        <v>30</v>
      </c>
      <c r="N23" s="85" t="s">
        <v>30</v>
      </c>
      <c r="O23" s="94" t="s">
        <v>31</v>
      </c>
      <c r="P23" s="94" t="s">
        <v>30</v>
      </c>
      <c r="Q23" s="94" t="s">
        <v>30</v>
      </c>
      <c r="R23" s="94" t="s">
        <v>30</v>
      </c>
      <c r="S23" s="85" t="s">
        <v>30</v>
      </c>
      <c r="T23" s="85" t="s">
        <v>30</v>
      </c>
      <c r="U23" s="94" t="s">
        <v>30</v>
      </c>
      <c r="V23" s="94" t="s">
        <v>30</v>
      </c>
      <c r="W23" s="85" t="s">
        <v>30</v>
      </c>
      <c r="X23" s="85" t="s">
        <v>30</v>
      </c>
      <c r="Y23" s="85" t="s">
        <v>30</v>
      </c>
      <c r="Z23" s="85" t="s">
        <v>30</v>
      </c>
      <c r="AA23" s="85" t="s">
        <v>30</v>
      </c>
      <c r="AB23" s="85" t="s">
        <v>30</v>
      </c>
      <c r="AC23" s="85" t="s">
        <v>30</v>
      </c>
      <c r="AD23" s="85" t="s">
        <v>30</v>
      </c>
      <c r="AE23" s="85" t="s">
        <v>30</v>
      </c>
      <c r="AF23" s="85" t="s">
        <v>49</v>
      </c>
      <c r="AG23" s="85" t="s">
        <v>49</v>
      </c>
      <c r="AH23" s="85" t="s">
        <v>49</v>
      </c>
      <c r="AI23" s="85" t="s">
        <v>49</v>
      </c>
      <c r="AJ23" s="85" t="s">
        <v>49</v>
      </c>
      <c r="AK23" s="85" t="s">
        <v>49</v>
      </c>
      <c r="AL23" s="85" t="s">
        <v>49</v>
      </c>
      <c r="AM23" s="85" t="s">
        <v>50</v>
      </c>
      <c r="AN23" s="85" t="s">
        <v>50</v>
      </c>
      <c r="AO23" s="85" t="s">
        <v>51</v>
      </c>
      <c r="AP23" s="85" t="s">
        <v>49</v>
      </c>
      <c r="AQ23" s="85" t="s">
        <v>49</v>
      </c>
      <c r="AR23" s="85" t="s">
        <v>49</v>
      </c>
      <c r="AS23" s="85" t="s">
        <v>173</v>
      </c>
    </row>
    <row r="24" spans="1:46" s="98" customFormat="1" ht="17.25" thickBot="1" x14ac:dyDescent="0.3">
      <c r="A24" s="98" t="s">
        <v>5</v>
      </c>
      <c r="B24" s="85" t="s">
        <v>6</v>
      </c>
      <c r="C24" s="85" t="s">
        <v>66</v>
      </c>
      <c r="D24" s="85" t="s">
        <v>7</v>
      </c>
      <c r="E24" s="82" t="s">
        <v>7</v>
      </c>
      <c r="F24" s="85" t="s">
        <v>8</v>
      </c>
      <c r="G24" s="85" t="s">
        <v>9</v>
      </c>
      <c r="H24" s="95" t="s">
        <v>67</v>
      </c>
      <c r="I24" s="85" t="s">
        <v>10</v>
      </c>
      <c r="J24" s="94" t="s">
        <v>11</v>
      </c>
      <c r="K24" s="94" t="s">
        <v>112</v>
      </c>
      <c r="L24" s="94" t="s">
        <v>113</v>
      </c>
      <c r="M24" s="85" t="s">
        <v>12</v>
      </c>
      <c r="N24" s="85" t="s">
        <v>13</v>
      </c>
      <c r="O24" s="95" t="s">
        <v>14</v>
      </c>
      <c r="P24" s="94" t="s">
        <v>15</v>
      </c>
      <c r="Q24" s="94" t="s">
        <v>115</v>
      </c>
      <c r="R24" s="94" t="s">
        <v>114</v>
      </c>
      <c r="S24" s="93" t="s">
        <v>17</v>
      </c>
      <c r="T24" s="93" t="s">
        <v>18</v>
      </c>
      <c r="U24" s="94" t="s">
        <v>99</v>
      </c>
      <c r="V24" s="94" t="s">
        <v>102</v>
      </c>
      <c r="W24" s="96" t="s">
        <v>19</v>
      </c>
      <c r="X24" s="96" t="s">
        <v>20</v>
      </c>
      <c r="Y24" s="96" t="s">
        <v>21</v>
      </c>
      <c r="Z24" s="96" t="s">
        <v>22</v>
      </c>
      <c r="AA24" s="96" t="s">
        <v>23</v>
      </c>
      <c r="AB24" s="96" t="s">
        <v>24</v>
      </c>
      <c r="AC24" s="96" t="s">
        <v>25</v>
      </c>
      <c r="AD24" s="96" t="s">
        <v>26</v>
      </c>
      <c r="AE24" s="96" t="s">
        <v>27</v>
      </c>
      <c r="AF24" s="97" t="s">
        <v>37</v>
      </c>
      <c r="AG24" s="97" t="s">
        <v>38</v>
      </c>
      <c r="AH24" s="97" t="s">
        <v>41</v>
      </c>
      <c r="AI24" s="97" t="s">
        <v>43</v>
      </c>
      <c r="AJ24" s="97" t="s">
        <v>42</v>
      </c>
      <c r="AK24" s="97" t="s">
        <v>40</v>
      </c>
      <c r="AL24" s="97" t="s">
        <v>39</v>
      </c>
      <c r="AM24" s="97" t="s">
        <v>44</v>
      </c>
      <c r="AN24" s="97" t="s">
        <v>45</v>
      </c>
      <c r="AO24" s="97" t="s">
        <v>46</v>
      </c>
      <c r="AP24" s="97" t="s">
        <v>47</v>
      </c>
      <c r="AQ24" s="97" t="s">
        <v>48</v>
      </c>
      <c r="AR24" s="97" t="s">
        <v>170</v>
      </c>
      <c r="AS24" s="97" t="s">
        <v>171</v>
      </c>
    </row>
    <row r="25" spans="1:46" ht="17.25" thickTop="1" x14ac:dyDescent="0.25">
      <c r="A25" s="124" t="str">
        <f>A6</f>
        <v>x</v>
      </c>
      <c r="B25" s="90">
        <f t="shared" ref="B25:B40" si="0">C25*B6</f>
        <v>0</v>
      </c>
      <c r="C25" s="125"/>
      <c r="D25" s="111" t="e">
        <f t="shared" ref="D25:D40" si="1">E25/E$43</f>
        <v>#DIV/0!</v>
      </c>
      <c r="E25" s="90">
        <f t="shared" ref="E25:E40" si="2">C25*E6</f>
        <v>0</v>
      </c>
      <c r="F25" s="109">
        <f t="shared" ref="F25:Q40" si="3">$E25*F6</f>
        <v>0</v>
      </c>
      <c r="G25" s="109">
        <f t="shared" si="3"/>
        <v>0</v>
      </c>
      <c r="H25" s="109">
        <f t="shared" si="3"/>
        <v>0</v>
      </c>
      <c r="I25" s="109">
        <f t="shared" si="3"/>
        <v>0</v>
      </c>
      <c r="J25" s="109">
        <f t="shared" si="3"/>
        <v>0</v>
      </c>
      <c r="K25" s="109">
        <f>IF(AT25="S",((((I6*K6*100)*0.9465)+4.5798)/100)*E25,IF(AT25="F",I6*K6*E25,0))</f>
        <v>0</v>
      </c>
      <c r="L25" s="109">
        <f>IF(AT25="S",((((I6*L6*100)*1.0083)+0.4502)/100)*E25,IF(AT25="F",I6*L6*E25,0))</f>
        <v>0</v>
      </c>
      <c r="M25" s="109">
        <f t="shared" ref="M25:U40" si="4">$E25*M6</f>
        <v>0</v>
      </c>
      <c r="N25" s="109">
        <f t="shared" si="4"/>
        <v>0</v>
      </c>
      <c r="O25" s="90">
        <f t="shared" si="4"/>
        <v>0</v>
      </c>
      <c r="P25" s="109">
        <f t="shared" si="4"/>
        <v>0</v>
      </c>
      <c r="Q25" s="109">
        <f t="shared" si="4"/>
        <v>0</v>
      </c>
      <c r="R25" s="109">
        <f t="shared" si="4"/>
        <v>0</v>
      </c>
      <c r="S25" s="109">
        <f t="shared" si="4"/>
        <v>0</v>
      </c>
      <c r="T25" s="109">
        <f t="shared" si="4"/>
        <v>0</v>
      </c>
      <c r="U25" s="109">
        <f t="shared" si="4"/>
        <v>0</v>
      </c>
      <c r="V25" s="109" t="e">
        <f t="shared" ref="V25:V40" si="5">(V6/(V6+I$54))*U25</f>
        <v>#DIV/0!</v>
      </c>
      <c r="W25" s="109">
        <f t="shared" ref="W25:AS36" si="6">$E25*W6</f>
        <v>0</v>
      </c>
      <c r="X25" s="109">
        <f t="shared" si="6"/>
        <v>0</v>
      </c>
      <c r="Y25" s="109">
        <f t="shared" si="6"/>
        <v>0</v>
      </c>
      <c r="Z25" s="109">
        <f t="shared" si="6"/>
        <v>0</v>
      </c>
      <c r="AA25" s="109">
        <f t="shared" si="6"/>
        <v>0</v>
      </c>
      <c r="AB25" s="109">
        <f t="shared" si="6"/>
        <v>0</v>
      </c>
      <c r="AC25" s="109">
        <f t="shared" si="6"/>
        <v>0</v>
      </c>
      <c r="AD25" s="109">
        <f t="shared" si="6"/>
        <v>0</v>
      </c>
      <c r="AE25" s="109">
        <f t="shared" si="6"/>
        <v>0</v>
      </c>
      <c r="AF25" s="126">
        <f t="shared" si="6"/>
        <v>0</v>
      </c>
      <c r="AG25" s="126">
        <f t="shared" si="6"/>
        <v>0</v>
      </c>
      <c r="AH25" s="126">
        <f t="shared" si="6"/>
        <v>0</v>
      </c>
      <c r="AI25" s="126">
        <f t="shared" si="6"/>
        <v>0</v>
      </c>
      <c r="AJ25" s="126">
        <f t="shared" si="6"/>
        <v>0</v>
      </c>
      <c r="AK25" s="126">
        <f t="shared" si="6"/>
        <v>0</v>
      </c>
      <c r="AL25" s="126">
        <f t="shared" si="6"/>
        <v>0</v>
      </c>
      <c r="AM25" s="126">
        <f t="shared" si="6"/>
        <v>0</v>
      </c>
      <c r="AN25" s="126">
        <f t="shared" si="6"/>
        <v>0</v>
      </c>
      <c r="AO25" s="126">
        <f t="shared" si="6"/>
        <v>0</v>
      </c>
      <c r="AP25" s="126">
        <f t="shared" si="6"/>
        <v>0</v>
      </c>
      <c r="AQ25" s="126">
        <f t="shared" si="6"/>
        <v>0</v>
      </c>
      <c r="AR25" s="126">
        <f t="shared" si="6"/>
        <v>0</v>
      </c>
      <c r="AS25" s="126">
        <f t="shared" si="6"/>
        <v>0</v>
      </c>
      <c r="AT25" s="113">
        <f t="shared" ref="AT25:AT40" si="7">C6</f>
        <v>0</v>
      </c>
    </row>
    <row r="26" spans="1:46" x14ac:dyDescent="0.25">
      <c r="A26" s="124" t="str">
        <f>A7</f>
        <v>x</v>
      </c>
      <c r="B26" s="90">
        <f t="shared" si="0"/>
        <v>0</v>
      </c>
      <c r="C26" s="127"/>
      <c r="D26" s="111" t="e">
        <f t="shared" si="1"/>
        <v>#DIV/0!</v>
      </c>
      <c r="E26" s="90">
        <f t="shared" si="2"/>
        <v>0</v>
      </c>
      <c r="F26" s="109">
        <f t="shared" si="3"/>
        <v>0</v>
      </c>
      <c r="G26" s="109">
        <f t="shared" si="3"/>
        <v>0</v>
      </c>
      <c r="H26" s="109">
        <f t="shared" si="3"/>
        <v>0</v>
      </c>
      <c r="I26" s="109">
        <f t="shared" si="3"/>
        <v>0</v>
      </c>
      <c r="J26" s="109">
        <f t="shared" si="3"/>
        <v>0</v>
      </c>
      <c r="K26" s="109">
        <f t="shared" ref="K26:K40" si="8">IF(AT26="S",((((I7*K7*100)*0.9465)+4.5798)/100)*E26,IF(AT26="F",I7*K7*E26,0))</f>
        <v>0</v>
      </c>
      <c r="L26" s="109">
        <f t="shared" ref="L26:L40" si="9">IF(AT26="S",((((I7*L7*100)*1.0083)+0.4502)/100)*E26,IF(AT26="F",I7*L7*E26,0))</f>
        <v>0</v>
      </c>
      <c r="M26" s="109">
        <f t="shared" si="4"/>
        <v>0</v>
      </c>
      <c r="N26" s="109">
        <f t="shared" si="4"/>
        <v>0</v>
      </c>
      <c r="O26" s="90">
        <f t="shared" si="4"/>
        <v>0</v>
      </c>
      <c r="P26" s="109">
        <f t="shared" si="4"/>
        <v>0</v>
      </c>
      <c r="Q26" s="109">
        <f t="shared" si="4"/>
        <v>0</v>
      </c>
      <c r="R26" s="109">
        <f t="shared" si="4"/>
        <v>0</v>
      </c>
      <c r="S26" s="109">
        <f t="shared" si="4"/>
        <v>0</v>
      </c>
      <c r="T26" s="109">
        <f t="shared" si="4"/>
        <v>0</v>
      </c>
      <c r="U26" s="109">
        <f t="shared" si="4"/>
        <v>0</v>
      </c>
      <c r="V26" s="109" t="e">
        <f t="shared" si="5"/>
        <v>#DIV/0!</v>
      </c>
      <c r="W26" s="109">
        <f t="shared" si="6"/>
        <v>0</v>
      </c>
      <c r="X26" s="109">
        <f t="shared" si="6"/>
        <v>0</v>
      </c>
      <c r="Y26" s="109">
        <f t="shared" si="6"/>
        <v>0</v>
      </c>
      <c r="Z26" s="109">
        <f t="shared" si="6"/>
        <v>0</v>
      </c>
      <c r="AA26" s="109">
        <f t="shared" si="6"/>
        <v>0</v>
      </c>
      <c r="AB26" s="109">
        <f t="shared" si="6"/>
        <v>0</v>
      </c>
      <c r="AC26" s="109">
        <f t="shared" si="6"/>
        <v>0</v>
      </c>
      <c r="AD26" s="109">
        <f t="shared" si="6"/>
        <v>0</v>
      </c>
      <c r="AE26" s="109">
        <f t="shared" si="6"/>
        <v>0</v>
      </c>
      <c r="AF26" s="126">
        <f t="shared" si="6"/>
        <v>0</v>
      </c>
      <c r="AG26" s="126">
        <f t="shared" si="6"/>
        <v>0</v>
      </c>
      <c r="AH26" s="126">
        <f t="shared" si="6"/>
        <v>0</v>
      </c>
      <c r="AI26" s="126">
        <f t="shared" si="6"/>
        <v>0</v>
      </c>
      <c r="AJ26" s="126">
        <f t="shared" si="6"/>
        <v>0</v>
      </c>
      <c r="AK26" s="126">
        <f t="shared" si="6"/>
        <v>0</v>
      </c>
      <c r="AL26" s="126">
        <f t="shared" si="6"/>
        <v>0</v>
      </c>
      <c r="AM26" s="126">
        <f t="shared" si="6"/>
        <v>0</v>
      </c>
      <c r="AN26" s="126">
        <f t="shared" si="6"/>
        <v>0</v>
      </c>
      <c r="AO26" s="126">
        <f t="shared" si="6"/>
        <v>0</v>
      </c>
      <c r="AP26" s="126">
        <f t="shared" si="6"/>
        <v>0</v>
      </c>
      <c r="AQ26" s="126">
        <f t="shared" si="6"/>
        <v>0</v>
      </c>
      <c r="AR26" s="126">
        <f t="shared" si="6"/>
        <v>0</v>
      </c>
      <c r="AS26" s="126">
        <f t="shared" si="6"/>
        <v>0</v>
      </c>
      <c r="AT26" s="113">
        <f t="shared" si="7"/>
        <v>0</v>
      </c>
    </row>
    <row r="27" spans="1:46" x14ac:dyDescent="0.25">
      <c r="A27" s="124" t="str">
        <f>A8</f>
        <v>x</v>
      </c>
      <c r="B27" s="90">
        <f t="shared" si="0"/>
        <v>0</v>
      </c>
      <c r="C27" s="127"/>
      <c r="D27" s="111" t="e">
        <f t="shared" si="1"/>
        <v>#DIV/0!</v>
      </c>
      <c r="E27" s="90">
        <f t="shared" si="2"/>
        <v>0</v>
      </c>
      <c r="F27" s="109">
        <f t="shared" si="3"/>
        <v>0</v>
      </c>
      <c r="G27" s="109">
        <f t="shared" si="3"/>
        <v>0</v>
      </c>
      <c r="H27" s="109">
        <f t="shared" si="3"/>
        <v>0</v>
      </c>
      <c r="I27" s="109">
        <f t="shared" si="3"/>
        <v>0</v>
      </c>
      <c r="J27" s="109">
        <f t="shared" si="3"/>
        <v>0</v>
      </c>
      <c r="K27" s="109">
        <f t="shared" si="8"/>
        <v>0</v>
      </c>
      <c r="L27" s="109">
        <f t="shared" si="9"/>
        <v>0</v>
      </c>
      <c r="M27" s="109">
        <f t="shared" si="4"/>
        <v>0</v>
      </c>
      <c r="N27" s="109">
        <f t="shared" si="4"/>
        <v>0</v>
      </c>
      <c r="O27" s="90">
        <f t="shared" si="4"/>
        <v>0</v>
      </c>
      <c r="P27" s="109">
        <f t="shared" si="4"/>
        <v>0</v>
      </c>
      <c r="Q27" s="109">
        <f t="shared" si="4"/>
        <v>0</v>
      </c>
      <c r="R27" s="109">
        <f t="shared" si="4"/>
        <v>0</v>
      </c>
      <c r="S27" s="109">
        <f t="shared" si="4"/>
        <v>0</v>
      </c>
      <c r="T27" s="109">
        <f t="shared" si="4"/>
        <v>0</v>
      </c>
      <c r="U27" s="109">
        <f t="shared" si="4"/>
        <v>0</v>
      </c>
      <c r="V27" s="109" t="e">
        <f t="shared" si="5"/>
        <v>#DIV/0!</v>
      </c>
      <c r="W27" s="109">
        <f t="shared" si="6"/>
        <v>0</v>
      </c>
      <c r="X27" s="109">
        <f t="shared" si="6"/>
        <v>0</v>
      </c>
      <c r="Y27" s="109">
        <f t="shared" si="6"/>
        <v>0</v>
      </c>
      <c r="Z27" s="109">
        <f t="shared" si="6"/>
        <v>0</v>
      </c>
      <c r="AA27" s="109">
        <f t="shared" si="6"/>
        <v>0</v>
      </c>
      <c r="AB27" s="109">
        <f t="shared" si="6"/>
        <v>0</v>
      </c>
      <c r="AC27" s="109">
        <f t="shared" si="6"/>
        <v>0</v>
      </c>
      <c r="AD27" s="109">
        <f t="shared" si="6"/>
        <v>0</v>
      </c>
      <c r="AE27" s="109">
        <f t="shared" si="6"/>
        <v>0</v>
      </c>
      <c r="AF27" s="126">
        <f t="shared" si="6"/>
        <v>0</v>
      </c>
      <c r="AG27" s="126">
        <f t="shared" si="6"/>
        <v>0</v>
      </c>
      <c r="AH27" s="126">
        <f t="shared" si="6"/>
        <v>0</v>
      </c>
      <c r="AI27" s="126">
        <f t="shared" si="6"/>
        <v>0</v>
      </c>
      <c r="AJ27" s="126">
        <f t="shared" si="6"/>
        <v>0</v>
      </c>
      <c r="AK27" s="126">
        <f t="shared" si="6"/>
        <v>0</v>
      </c>
      <c r="AL27" s="126">
        <f t="shared" si="6"/>
        <v>0</v>
      </c>
      <c r="AM27" s="126">
        <f t="shared" si="6"/>
        <v>0</v>
      </c>
      <c r="AN27" s="126">
        <f t="shared" si="6"/>
        <v>0</v>
      </c>
      <c r="AO27" s="126">
        <f t="shared" si="6"/>
        <v>0</v>
      </c>
      <c r="AP27" s="126">
        <f t="shared" si="6"/>
        <v>0</v>
      </c>
      <c r="AQ27" s="126">
        <f t="shared" si="6"/>
        <v>0</v>
      </c>
      <c r="AR27" s="126">
        <f t="shared" si="6"/>
        <v>0</v>
      </c>
      <c r="AS27" s="126">
        <f t="shared" si="6"/>
        <v>0</v>
      </c>
      <c r="AT27" s="113">
        <f t="shared" si="7"/>
        <v>0</v>
      </c>
    </row>
    <row r="28" spans="1:46" x14ac:dyDescent="0.25">
      <c r="A28" s="124" t="str">
        <f>A9</f>
        <v>x</v>
      </c>
      <c r="B28" s="90">
        <f t="shared" si="0"/>
        <v>0</v>
      </c>
      <c r="C28" s="127"/>
      <c r="D28" s="111" t="e">
        <f t="shared" si="1"/>
        <v>#DIV/0!</v>
      </c>
      <c r="E28" s="90">
        <f t="shared" si="2"/>
        <v>0</v>
      </c>
      <c r="F28" s="109">
        <f t="shared" si="3"/>
        <v>0</v>
      </c>
      <c r="G28" s="109">
        <f t="shared" si="3"/>
        <v>0</v>
      </c>
      <c r="H28" s="109">
        <f t="shared" si="3"/>
        <v>0</v>
      </c>
      <c r="I28" s="109">
        <f t="shared" si="3"/>
        <v>0</v>
      </c>
      <c r="J28" s="109">
        <f t="shared" si="3"/>
        <v>0</v>
      </c>
      <c r="K28" s="109">
        <f t="shared" si="8"/>
        <v>0</v>
      </c>
      <c r="L28" s="109">
        <f t="shared" si="9"/>
        <v>0</v>
      </c>
      <c r="M28" s="109">
        <f t="shared" si="4"/>
        <v>0</v>
      </c>
      <c r="N28" s="109">
        <f t="shared" si="4"/>
        <v>0</v>
      </c>
      <c r="O28" s="90">
        <f t="shared" si="4"/>
        <v>0</v>
      </c>
      <c r="P28" s="109">
        <f t="shared" si="4"/>
        <v>0</v>
      </c>
      <c r="Q28" s="109">
        <f t="shared" si="4"/>
        <v>0</v>
      </c>
      <c r="R28" s="109">
        <f t="shared" si="4"/>
        <v>0</v>
      </c>
      <c r="S28" s="109">
        <f t="shared" si="4"/>
        <v>0</v>
      </c>
      <c r="T28" s="109">
        <f t="shared" si="4"/>
        <v>0</v>
      </c>
      <c r="U28" s="109">
        <f t="shared" si="4"/>
        <v>0</v>
      </c>
      <c r="V28" s="109" t="e">
        <f t="shared" si="5"/>
        <v>#DIV/0!</v>
      </c>
      <c r="W28" s="109">
        <f t="shared" si="6"/>
        <v>0</v>
      </c>
      <c r="X28" s="109">
        <f t="shared" si="6"/>
        <v>0</v>
      </c>
      <c r="Y28" s="109">
        <f t="shared" si="6"/>
        <v>0</v>
      </c>
      <c r="Z28" s="109">
        <f t="shared" si="6"/>
        <v>0</v>
      </c>
      <c r="AA28" s="109">
        <f t="shared" si="6"/>
        <v>0</v>
      </c>
      <c r="AB28" s="109">
        <f t="shared" si="6"/>
        <v>0</v>
      </c>
      <c r="AC28" s="109">
        <f t="shared" si="6"/>
        <v>0</v>
      </c>
      <c r="AD28" s="109">
        <f t="shared" si="6"/>
        <v>0</v>
      </c>
      <c r="AE28" s="109">
        <f t="shared" si="6"/>
        <v>0</v>
      </c>
      <c r="AF28" s="126">
        <f t="shared" si="6"/>
        <v>0</v>
      </c>
      <c r="AG28" s="126">
        <f t="shared" si="6"/>
        <v>0</v>
      </c>
      <c r="AH28" s="126">
        <f t="shared" si="6"/>
        <v>0</v>
      </c>
      <c r="AI28" s="126">
        <f t="shared" si="6"/>
        <v>0</v>
      </c>
      <c r="AJ28" s="126">
        <f t="shared" si="6"/>
        <v>0</v>
      </c>
      <c r="AK28" s="126">
        <f t="shared" si="6"/>
        <v>0</v>
      </c>
      <c r="AL28" s="126">
        <f t="shared" si="6"/>
        <v>0</v>
      </c>
      <c r="AM28" s="126">
        <f t="shared" si="6"/>
        <v>0</v>
      </c>
      <c r="AN28" s="126">
        <f t="shared" si="6"/>
        <v>0</v>
      </c>
      <c r="AO28" s="126">
        <f t="shared" si="6"/>
        <v>0</v>
      </c>
      <c r="AP28" s="126">
        <f t="shared" si="6"/>
        <v>0</v>
      </c>
      <c r="AQ28" s="126">
        <f t="shared" si="6"/>
        <v>0</v>
      </c>
      <c r="AR28" s="126">
        <f t="shared" si="6"/>
        <v>0</v>
      </c>
      <c r="AS28" s="126">
        <f t="shared" si="6"/>
        <v>0</v>
      </c>
      <c r="AT28" s="113">
        <f t="shared" si="7"/>
        <v>0</v>
      </c>
    </row>
    <row r="29" spans="1:46" x14ac:dyDescent="0.25">
      <c r="A29" s="124" t="str">
        <f>A10</f>
        <v>x</v>
      </c>
      <c r="B29" s="90">
        <f t="shared" si="0"/>
        <v>0</v>
      </c>
      <c r="C29" s="127"/>
      <c r="D29" s="111" t="e">
        <f t="shared" si="1"/>
        <v>#DIV/0!</v>
      </c>
      <c r="E29" s="90">
        <f t="shared" si="2"/>
        <v>0</v>
      </c>
      <c r="F29" s="109">
        <f t="shared" si="3"/>
        <v>0</v>
      </c>
      <c r="G29" s="109">
        <f t="shared" si="3"/>
        <v>0</v>
      </c>
      <c r="H29" s="109">
        <f t="shared" si="3"/>
        <v>0</v>
      </c>
      <c r="I29" s="109">
        <f t="shared" si="3"/>
        <v>0</v>
      </c>
      <c r="J29" s="109">
        <f t="shared" si="3"/>
        <v>0</v>
      </c>
      <c r="K29" s="109">
        <f t="shared" si="8"/>
        <v>0</v>
      </c>
      <c r="L29" s="109">
        <f t="shared" si="9"/>
        <v>0</v>
      </c>
      <c r="M29" s="109">
        <f t="shared" si="4"/>
        <v>0</v>
      </c>
      <c r="N29" s="109">
        <f t="shared" si="4"/>
        <v>0</v>
      </c>
      <c r="O29" s="90">
        <f t="shared" si="4"/>
        <v>0</v>
      </c>
      <c r="P29" s="109">
        <f t="shared" si="4"/>
        <v>0</v>
      </c>
      <c r="Q29" s="109">
        <f t="shared" si="4"/>
        <v>0</v>
      </c>
      <c r="R29" s="109">
        <f t="shared" si="4"/>
        <v>0</v>
      </c>
      <c r="S29" s="109">
        <f t="shared" si="4"/>
        <v>0</v>
      </c>
      <c r="T29" s="109">
        <f t="shared" si="4"/>
        <v>0</v>
      </c>
      <c r="U29" s="109">
        <f t="shared" si="4"/>
        <v>0</v>
      </c>
      <c r="V29" s="109" t="e">
        <f t="shared" si="5"/>
        <v>#DIV/0!</v>
      </c>
      <c r="W29" s="109">
        <f t="shared" si="6"/>
        <v>0</v>
      </c>
      <c r="X29" s="109">
        <f t="shared" si="6"/>
        <v>0</v>
      </c>
      <c r="Y29" s="109">
        <f t="shared" si="6"/>
        <v>0</v>
      </c>
      <c r="Z29" s="109">
        <f t="shared" si="6"/>
        <v>0</v>
      </c>
      <c r="AA29" s="109">
        <f t="shared" si="6"/>
        <v>0</v>
      </c>
      <c r="AB29" s="109">
        <f t="shared" si="6"/>
        <v>0</v>
      </c>
      <c r="AC29" s="109">
        <f t="shared" si="6"/>
        <v>0</v>
      </c>
      <c r="AD29" s="109">
        <f t="shared" si="6"/>
        <v>0</v>
      </c>
      <c r="AE29" s="109">
        <f t="shared" si="6"/>
        <v>0</v>
      </c>
      <c r="AF29" s="126">
        <f t="shared" si="6"/>
        <v>0</v>
      </c>
      <c r="AG29" s="126">
        <f t="shared" si="6"/>
        <v>0</v>
      </c>
      <c r="AH29" s="126">
        <f t="shared" si="6"/>
        <v>0</v>
      </c>
      <c r="AI29" s="126">
        <f t="shared" si="6"/>
        <v>0</v>
      </c>
      <c r="AJ29" s="126">
        <f t="shared" si="6"/>
        <v>0</v>
      </c>
      <c r="AK29" s="126">
        <f t="shared" si="6"/>
        <v>0</v>
      </c>
      <c r="AL29" s="126">
        <f t="shared" si="6"/>
        <v>0</v>
      </c>
      <c r="AM29" s="126">
        <f t="shared" si="6"/>
        <v>0</v>
      </c>
      <c r="AN29" s="126">
        <f t="shared" si="6"/>
        <v>0</v>
      </c>
      <c r="AO29" s="126">
        <f t="shared" si="6"/>
        <v>0</v>
      </c>
      <c r="AP29" s="126">
        <f t="shared" si="6"/>
        <v>0</v>
      </c>
      <c r="AQ29" s="126">
        <f t="shared" si="6"/>
        <v>0</v>
      </c>
      <c r="AR29" s="126">
        <f t="shared" si="6"/>
        <v>0</v>
      </c>
      <c r="AS29" s="126">
        <f t="shared" si="6"/>
        <v>0</v>
      </c>
      <c r="AT29" s="113">
        <f t="shared" si="7"/>
        <v>0</v>
      </c>
    </row>
    <row r="30" spans="1:46" x14ac:dyDescent="0.25">
      <c r="A30" s="124" t="str">
        <f t="shared" ref="A30:A40" si="10">A11</f>
        <v>x</v>
      </c>
      <c r="B30" s="90">
        <f t="shared" si="0"/>
        <v>0</v>
      </c>
      <c r="C30" s="127"/>
      <c r="D30" s="111" t="e">
        <f t="shared" si="1"/>
        <v>#DIV/0!</v>
      </c>
      <c r="E30" s="90">
        <f t="shared" si="2"/>
        <v>0</v>
      </c>
      <c r="F30" s="109">
        <f t="shared" si="3"/>
        <v>0</v>
      </c>
      <c r="G30" s="109">
        <f t="shared" si="3"/>
        <v>0</v>
      </c>
      <c r="H30" s="109">
        <f t="shared" si="3"/>
        <v>0</v>
      </c>
      <c r="I30" s="109">
        <f t="shared" si="3"/>
        <v>0</v>
      </c>
      <c r="J30" s="109">
        <f t="shared" si="3"/>
        <v>0</v>
      </c>
      <c r="K30" s="109">
        <f t="shared" si="8"/>
        <v>0</v>
      </c>
      <c r="L30" s="109">
        <f t="shared" si="9"/>
        <v>0</v>
      </c>
      <c r="M30" s="109">
        <f t="shared" si="4"/>
        <v>0</v>
      </c>
      <c r="N30" s="109">
        <f t="shared" si="4"/>
        <v>0</v>
      </c>
      <c r="O30" s="90">
        <f t="shared" si="4"/>
        <v>0</v>
      </c>
      <c r="P30" s="109">
        <f t="shared" si="4"/>
        <v>0</v>
      </c>
      <c r="Q30" s="109">
        <f t="shared" si="4"/>
        <v>0</v>
      </c>
      <c r="R30" s="109">
        <f t="shared" si="4"/>
        <v>0</v>
      </c>
      <c r="S30" s="109">
        <f t="shared" si="4"/>
        <v>0</v>
      </c>
      <c r="T30" s="109">
        <f t="shared" si="4"/>
        <v>0</v>
      </c>
      <c r="U30" s="109">
        <f t="shared" si="4"/>
        <v>0</v>
      </c>
      <c r="V30" s="109" t="e">
        <f t="shared" si="5"/>
        <v>#DIV/0!</v>
      </c>
      <c r="W30" s="109">
        <f t="shared" si="6"/>
        <v>0</v>
      </c>
      <c r="X30" s="109">
        <f t="shared" si="6"/>
        <v>0</v>
      </c>
      <c r="Y30" s="109">
        <f t="shared" si="6"/>
        <v>0</v>
      </c>
      <c r="Z30" s="109">
        <f t="shared" si="6"/>
        <v>0</v>
      </c>
      <c r="AA30" s="109">
        <f t="shared" si="6"/>
        <v>0</v>
      </c>
      <c r="AB30" s="109">
        <f t="shared" si="6"/>
        <v>0</v>
      </c>
      <c r="AC30" s="109">
        <f t="shared" si="6"/>
        <v>0</v>
      </c>
      <c r="AD30" s="109">
        <f t="shared" si="6"/>
        <v>0</v>
      </c>
      <c r="AE30" s="109">
        <f t="shared" si="6"/>
        <v>0</v>
      </c>
      <c r="AF30" s="126">
        <f t="shared" si="6"/>
        <v>0</v>
      </c>
      <c r="AG30" s="126">
        <f t="shared" si="6"/>
        <v>0</v>
      </c>
      <c r="AH30" s="126">
        <f t="shared" si="6"/>
        <v>0</v>
      </c>
      <c r="AI30" s="126">
        <f t="shared" si="6"/>
        <v>0</v>
      </c>
      <c r="AJ30" s="126">
        <f t="shared" si="6"/>
        <v>0</v>
      </c>
      <c r="AK30" s="126">
        <f t="shared" si="6"/>
        <v>0</v>
      </c>
      <c r="AL30" s="126">
        <f t="shared" si="6"/>
        <v>0</v>
      </c>
      <c r="AM30" s="126">
        <f t="shared" si="6"/>
        <v>0</v>
      </c>
      <c r="AN30" s="126">
        <f t="shared" si="6"/>
        <v>0</v>
      </c>
      <c r="AO30" s="126">
        <f t="shared" si="6"/>
        <v>0</v>
      </c>
      <c r="AP30" s="126">
        <f t="shared" si="6"/>
        <v>0</v>
      </c>
      <c r="AQ30" s="126">
        <f t="shared" si="6"/>
        <v>0</v>
      </c>
      <c r="AR30" s="126">
        <f t="shared" si="6"/>
        <v>0</v>
      </c>
      <c r="AS30" s="126">
        <f t="shared" si="6"/>
        <v>0</v>
      </c>
      <c r="AT30" s="113">
        <f t="shared" si="7"/>
        <v>0</v>
      </c>
    </row>
    <row r="31" spans="1:46" x14ac:dyDescent="0.25">
      <c r="A31" s="124" t="str">
        <f t="shared" si="10"/>
        <v>x</v>
      </c>
      <c r="B31" s="90">
        <f t="shared" si="0"/>
        <v>0</v>
      </c>
      <c r="C31" s="127"/>
      <c r="D31" s="111" t="e">
        <f t="shared" si="1"/>
        <v>#DIV/0!</v>
      </c>
      <c r="E31" s="90">
        <f t="shared" si="2"/>
        <v>0</v>
      </c>
      <c r="F31" s="109">
        <f t="shared" si="3"/>
        <v>0</v>
      </c>
      <c r="G31" s="109">
        <f t="shared" si="3"/>
        <v>0</v>
      </c>
      <c r="H31" s="109">
        <f t="shared" si="3"/>
        <v>0</v>
      </c>
      <c r="I31" s="109">
        <f t="shared" si="3"/>
        <v>0</v>
      </c>
      <c r="J31" s="109">
        <f t="shared" si="3"/>
        <v>0</v>
      </c>
      <c r="K31" s="109">
        <f t="shared" si="8"/>
        <v>0</v>
      </c>
      <c r="L31" s="109">
        <f t="shared" si="9"/>
        <v>0</v>
      </c>
      <c r="M31" s="109">
        <f t="shared" si="4"/>
        <v>0</v>
      </c>
      <c r="N31" s="109">
        <f t="shared" si="4"/>
        <v>0</v>
      </c>
      <c r="O31" s="90">
        <f t="shared" si="4"/>
        <v>0</v>
      </c>
      <c r="P31" s="109">
        <f t="shared" si="4"/>
        <v>0</v>
      </c>
      <c r="Q31" s="109">
        <f t="shared" si="4"/>
        <v>0</v>
      </c>
      <c r="R31" s="109">
        <f t="shared" si="4"/>
        <v>0</v>
      </c>
      <c r="S31" s="109">
        <f t="shared" si="4"/>
        <v>0</v>
      </c>
      <c r="T31" s="109">
        <f t="shared" si="4"/>
        <v>0</v>
      </c>
      <c r="U31" s="109">
        <f t="shared" si="4"/>
        <v>0</v>
      </c>
      <c r="V31" s="109" t="e">
        <f t="shared" si="5"/>
        <v>#DIV/0!</v>
      </c>
      <c r="W31" s="109">
        <f t="shared" si="6"/>
        <v>0</v>
      </c>
      <c r="X31" s="109">
        <f t="shared" si="6"/>
        <v>0</v>
      </c>
      <c r="Y31" s="109">
        <f t="shared" si="6"/>
        <v>0</v>
      </c>
      <c r="Z31" s="109">
        <f t="shared" si="6"/>
        <v>0</v>
      </c>
      <c r="AA31" s="109">
        <f t="shared" si="6"/>
        <v>0</v>
      </c>
      <c r="AB31" s="109">
        <f t="shared" si="6"/>
        <v>0</v>
      </c>
      <c r="AC31" s="109">
        <f t="shared" si="6"/>
        <v>0</v>
      </c>
      <c r="AD31" s="109">
        <f t="shared" si="6"/>
        <v>0</v>
      </c>
      <c r="AE31" s="109">
        <f t="shared" si="6"/>
        <v>0</v>
      </c>
      <c r="AF31" s="126">
        <f t="shared" si="6"/>
        <v>0</v>
      </c>
      <c r="AG31" s="126">
        <f t="shared" si="6"/>
        <v>0</v>
      </c>
      <c r="AH31" s="126">
        <f t="shared" si="6"/>
        <v>0</v>
      </c>
      <c r="AI31" s="126">
        <f t="shared" si="6"/>
        <v>0</v>
      </c>
      <c r="AJ31" s="126">
        <f t="shared" si="6"/>
        <v>0</v>
      </c>
      <c r="AK31" s="126">
        <f t="shared" si="6"/>
        <v>0</v>
      </c>
      <c r="AL31" s="126">
        <f t="shared" si="6"/>
        <v>0</v>
      </c>
      <c r="AM31" s="126">
        <f t="shared" si="6"/>
        <v>0</v>
      </c>
      <c r="AN31" s="126">
        <f t="shared" si="6"/>
        <v>0</v>
      </c>
      <c r="AO31" s="126">
        <f t="shared" si="6"/>
        <v>0</v>
      </c>
      <c r="AP31" s="126">
        <f t="shared" si="6"/>
        <v>0</v>
      </c>
      <c r="AQ31" s="126">
        <f t="shared" si="6"/>
        <v>0</v>
      </c>
      <c r="AR31" s="126">
        <f t="shared" si="6"/>
        <v>0</v>
      </c>
      <c r="AS31" s="126">
        <f t="shared" si="6"/>
        <v>0</v>
      </c>
      <c r="AT31" s="113">
        <f t="shared" si="7"/>
        <v>0</v>
      </c>
    </row>
    <row r="32" spans="1:46" x14ac:dyDescent="0.25">
      <c r="A32" s="124" t="str">
        <f t="shared" si="10"/>
        <v>x</v>
      </c>
      <c r="B32" s="90">
        <f t="shared" si="0"/>
        <v>0</v>
      </c>
      <c r="C32" s="127"/>
      <c r="D32" s="111" t="e">
        <f t="shared" si="1"/>
        <v>#DIV/0!</v>
      </c>
      <c r="E32" s="90">
        <f t="shared" si="2"/>
        <v>0</v>
      </c>
      <c r="F32" s="109">
        <f t="shared" si="3"/>
        <v>0</v>
      </c>
      <c r="G32" s="109">
        <f t="shared" si="3"/>
        <v>0</v>
      </c>
      <c r="H32" s="109">
        <f t="shared" si="3"/>
        <v>0</v>
      </c>
      <c r="I32" s="109">
        <f t="shared" si="3"/>
        <v>0</v>
      </c>
      <c r="J32" s="109">
        <f t="shared" si="3"/>
        <v>0</v>
      </c>
      <c r="K32" s="109">
        <f t="shared" si="8"/>
        <v>0</v>
      </c>
      <c r="L32" s="109">
        <f t="shared" si="9"/>
        <v>0</v>
      </c>
      <c r="M32" s="109">
        <f t="shared" si="4"/>
        <v>0</v>
      </c>
      <c r="N32" s="109">
        <f t="shared" si="4"/>
        <v>0</v>
      </c>
      <c r="O32" s="90">
        <f t="shared" si="4"/>
        <v>0</v>
      </c>
      <c r="P32" s="109">
        <f t="shared" si="4"/>
        <v>0</v>
      </c>
      <c r="Q32" s="109">
        <f t="shared" si="4"/>
        <v>0</v>
      </c>
      <c r="R32" s="109">
        <f t="shared" si="4"/>
        <v>0</v>
      </c>
      <c r="S32" s="109">
        <f t="shared" si="4"/>
        <v>0</v>
      </c>
      <c r="T32" s="109">
        <f t="shared" si="4"/>
        <v>0</v>
      </c>
      <c r="U32" s="109">
        <f t="shared" si="4"/>
        <v>0</v>
      </c>
      <c r="V32" s="109" t="e">
        <f t="shared" si="5"/>
        <v>#DIV/0!</v>
      </c>
      <c r="W32" s="109">
        <f t="shared" si="6"/>
        <v>0</v>
      </c>
      <c r="X32" s="109">
        <f t="shared" si="6"/>
        <v>0</v>
      </c>
      <c r="Y32" s="109">
        <f t="shared" si="6"/>
        <v>0</v>
      </c>
      <c r="Z32" s="109">
        <f t="shared" si="6"/>
        <v>0</v>
      </c>
      <c r="AA32" s="109">
        <f t="shared" si="6"/>
        <v>0</v>
      </c>
      <c r="AB32" s="109">
        <f t="shared" si="6"/>
        <v>0</v>
      </c>
      <c r="AC32" s="109">
        <f t="shared" si="6"/>
        <v>0</v>
      </c>
      <c r="AD32" s="109">
        <f t="shared" si="6"/>
        <v>0</v>
      </c>
      <c r="AE32" s="109">
        <f t="shared" si="6"/>
        <v>0</v>
      </c>
      <c r="AF32" s="126">
        <f t="shared" si="6"/>
        <v>0</v>
      </c>
      <c r="AG32" s="126">
        <f t="shared" si="6"/>
        <v>0</v>
      </c>
      <c r="AH32" s="126">
        <f t="shared" si="6"/>
        <v>0</v>
      </c>
      <c r="AI32" s="126">
        <f t="shared" si="6"/>
        <v>0</v>
      </c>
      <c r="AJ32" s="126">
        <f t="shared" si="6"/>
        <v>0</v>
      </c>
      <c r="AK32" s="126">
        <f t="shared" si="6"/>
        <v>0</v>
      </c>
      <c r="AL32" s="126">
        <f t="shared" si="6"/>
        <v>0</v>
      </c>
      <c r="AM32" s="128">
        <f t="shared" si="6"/>
        <v>0</v>
      </c>
      <c r="AN32" s="128">
        <f t="shared" si="6"/>
        <v>0</v>
      </c>
      <c r="AO32" s="128">
        <f t="shared" si="6"/>
        <v>0</v>
      </c>
      <c r="AP32" s="126">
        <f t="shared" si="6"/>
        <v>0</v>
      </c>
      <c r="AQ32" s="126">
        <f t="shared" si="6"/>
        <v>0</v>
      </c>
      <c r="AR32" s="126">
        <f t="shared" si="6"/>
        <v>0</v>
      </c>
      <c r="AS32" s="126">
        <f t="shared" si="6"/>
        <v>0</v>
      </c>
      <c r="AT32" s="113">
        <f t="shared" si="7"/>
        <v>0</v>
      </c>
    </row>
    <row r="33" spans="1:47" x14ac:dyDescent="0.25">
      <c r="A33" s="124" t="str">
        <f t="shared" si="10"/>
        <v>x</v>
      </c>
      <c r="B33" s="90">
        <f t="shared" si="0"/>
        <v>0</v>
      </c>
      <c r="C33" s="127"/>
      <c r="D33" s="111" t="e">
        <f t="shared" si="1"/>
        <v>#DIV/0!</v>
      </c>
      <c r="E33" s="90">
        <f t="shared" si="2"/>
        <v>0</v>
      </c>
      <c r="F33" s="109">
        <f t="shared" si="3"/>
        <v>0</v>
      </c>
      <c r="G33" s="109">
        <f t="shared" si="3"/>
        <v>0</v>
      </c>
      <c r="H33" s="109">
        <f t="shared" si="3"/>
        <v>0</v>
      </c>
      <c r="I33" s="109">
        <f t="shared" si="3"/>
        <v>0</v>
      </c>
      <c r="J33" s="109">
        <f t="shared" si="3"/>
        <v>0</v>
      </c>
      <c r="K33" s="109">
        <f t="shared" si="8"/>
        <v>0</v>
      </c>
      <c r="L33" s="109">
        <f t="shared" si="9"/>
        <v>0</v>
      </c>
      <c r="M33" s="109">
        <f t="shared" si="3"/>
        <v>0</v>
      </c>
      <c r="N33" s="109">
        <f t="shared" si="3"/>
        <v>0</v>
      </c>
      <c r="O33" s="90">
        <f t="shared" si="3"/>
        <v>0</v>
      </c>
      <c r="P33" s="109">
        <f t="shared" si="3"/>
        <v>0</v>
      </c>
      <c r="Q33" s="109">
        <f t="shared" si="3"/>
        <v>0</v>
      </c>
      <c r="R33" s="109">
        <f t="shared" si="4"/>
        <v>0</v>
      </c>
      <c r="S33" s="109">
        <f t="shared" si="4"/>
        <v>0</v>
      </c>
      <c r="T33" s="109">
        <f t="shared" si="4"/>
        <v>0</v>
      </c>
      <c r="U33" s="109">
        <f t="shared" si="4"/>
        <v>0</v>
      </c>
      <c r="V33" s="109" t="e">
        <f t="shared" si="5"/>
        <v>#DIV/0!</v>
      </c>
      <c r="W33" s="109">
        <f t="shared" si="6"/>
        <v>0</v>
      </c>
      <c r="X33" s="109">
        <f t="shared" si="6"/>
        <v>0</v>
      </c>
      <c r="Y33" s="109">
        <f t="shared" si="6"/>
        <v>0</v>
      </c>
      <c r="Z33" s="109">
        <f t="shared" si="6"/>
        <v>0</v>
      </c>
      <c r="AA33" s="109">
        <f t="shared" si="6"/>
        <v>0</v>
      </c>
      <c r="AB33" s="109">
        <f t="shared" si="6"/>
        <v>0</v>
      </c>
      <c r="AC33" s="109">
        <f t="shared" si="6"/>
        <v>0</v>
      </c>
      <c r="AD33" s="109">
        <f t="shared" si="6"/>
        <v>0</v>
      </c>
      <c r="AE33" s="109">
        <f t="shared" si="6"/>
        <v>0</v>
      </c>
      <c r="AF33" s="126">
        <f t="shared" si="6"/>
        <v>0</v>
      </c>
      <c r="AG33" s="126">
        <f t="shared" si="6"/>
        <v>0</v>
      </c>
      <c r="AH33" s="126">
        <f t="shared" si="6"/>
        <v>0</v>
      </c>
      <c r="AI33" s="126">
        <f t="shared" si="6"/>
        <v>0</v>
      </c>
      <c r="AJ33" s="126">
        <f t="shared" si="6"/>
        <v>0</v>
      </c>
      <c r="AK33" s="126">
        <f t="shared" si="6"/>
        <v>0</v>
      </c>
      <c r="AL33" s="126">
        <f t="shared" si="6"/>
        <v>0</v>
      </c>
      <c r="AM33" s="126">
        <f t="shared" si="6"/>
        <v>0</v>
      </c>
      <c r="AN33" s="126">
        <f t="shared" si="6"/>
        <v>0</v>
      </c>
      <c r="AO33" s="126">
        <f t="shared" si="6"/>
        <v>0</v>
      </c>
      <c r="AP33" s="126">
        <f t="shared" si="6"/>
        <v>0</v>
      </c>
      <c r="AQ33" s="126">
        <f t="shared" si="6"/>
        <v>0</v>
      </c>
      <c r="AR33" s="126">
        <f t="shared" si="6"/>
        <v>0</v>
      </c>
      <c r="AS33" s="126">
        <f t="shared" si="6"/>
        <v>0</v>
      </c>
      <c r="AT33" s="113">
        <f t="shared" si="7"/>
        <v>0</v>
      </c>
    </row>
    <row r="34" spans="1:47" x14ac:dyDescent="0.25">
      <c r="A34" s="124" t="str">
        <f t="shared" si="10"/>
        <v>x</v>
      </c>
      <c r="B34" s="90">
        <f t="shared" si="0"/>
        <v>0</v>
      </c>
      <c r="C34" s="127"/>
      <c r="D34" s="111" t="e">
        <f t="shared" si="1"/>
        <v>#DIV/0!</v>
      </c>
      <c r="E34" s="90">
        <f t="shared" si="2"/>
        <v>0</v>
      </c>
      <c r="F34" s="109">
        <f t="shared" si="3"/>
        <v>0</v>
      </c>
      <c r="G34" s="109">
        <f t="shared" si="3"/>
        <v>0</v>
      </c>
      <c r="H34" s="109">
        <f t="shared" si="3"/>
        <v>0</v>
      </c>
      <c r="I34" s="109">
        <f t="shared" si="3"/>
        <v>0</v>
      </c>
      <c r="J34" s="109">
        <f t="shared" si="3"/>
        <v>0</v>
      </c>
      <c r="K34" s="109">
        <f t="shared" si="8"/>
        <v>0</v>
      </c>
      <c r="L34" s="109">
        <f t="shared" si="9"/>
        <v>0</v>
      </c>
      <c r="M34" s="109">
        <f t="shared" si="3"/>
        <v>0</v>
      </c>
      <c r="N34" s="109">
        <f t="shared" si="3"/>
        <v>0</v>
      </c>
      <c r="O34" s="90">
        <f t="shared" si="3"/>
        <v>0</v>
      </c>
      <c r="P34" s="109">
        <f t="shared" si="3"/>
        <v>0</v>
      </c>
      <c r="Q34" s="109">
        <f t="shared" si="3"/>
        <v>0</v>
      </c>
      <c r="R34" s="109">
        <f t="shared" si="4"/>
        <v>0</v>
      </c>
      <c r="S34" s="109">
        <f t="shared" si="4"/>
        <v>0</v>
      </c>
      <c r="T34" s="109">
        <f t="shared" si="4"/>
        <v>0</v>
      </c>
      <c r="U34" s="109">
        <f t="shared" si="4"/>
        <v>0</v>
      </c>
      <c r="V34" s="109" t="e">
        <f t="shared" si="5"/>
        <v>#DIV/0!</v>
      </c>
      <c r="W34" s="109">
        <f t="shared" si="6"/>
        <v>0</v>
      </c>
      <c r="X34" s="109">
        <f t="shared" si="6"/>
        <v>0</v>
      </c>
      <c r="Y34" s="109">
        <f t="shared" si="6"/>
        <v>0</v>
      </c>
      <c r="Z34" s="109">
        <f t="shared" si="6"/>
        <v>0</v>
      </c>
      <c r="AA34" s="109">
        <f t="shared" si="6"/>
        <v>0</v>
      </c>
      <c r="AB34" s="109">
        <f t="shared" si="6"/>
        <v>0</v>
      </c>
      <c r="AC34" s="109">
        <f t="shared" si="6"/>
        <v>0</v>
      </c>
      <c r="AD34" s="109">
        <f t="shared" si="6"/>
        <v>0</v>
      </c>
      <c r="AE34" s="109">
        <f t="shared" si="6"/>
        <v>0</v>
      </c>
      <c r="AF34" s="126">
        <f t="shared" si="6"/>
        <v>0</v>
      </c>
      <c r="AG34" s="126">
        <f t="shared" si="6"/>
        <v>0</v>
      </c>
      <c r="AH34" s="126">
        <f t="shared" si="6"/>
        <v>0</v>
      </c>
      <c r="AI34" s="126">
        <f t="shared" si="6"/>
        <v>0</v>
      </c>
      <c r="AJ34" s="126">
        <f t="shared" si="6"/>
        <v>0</v>
      </c>
      <c r="AK34" s="126">
        <f t="shared" si="6"/>
        <v>0</v>
      </c>
      <c r="AL34" s="126">
        <f t="shared" si="6"/>
        <v>0</v>
      </c>
      <c r="AM34" s="126">
        <f t="shared" si="6"/>
        <v>0</v>
      </c>
      <c r="AN34" s="126">
        <f t="shared" si="6"/>
        <v>0</v>
      </c>
      <c r="AO34" s="126">
        <f t="shared" si="6"/>
        <v>0</v>
      </c>
      <c r="AP34" s="126">
        <f t="shared" si="6"/>
        <v>0</v>
      </c>
      <c r="AQ34" s="126">
        <f t="shared" si="6"/>
        <v>0</v>
      </c>
      <c r="AR34" s="126">
        <f t="shared" si="6"/>
        <v>0</v>
      </c>
      <c r="AS34" s="126">
        <f t="shared" si="6"/>
        <v>0</v>
      </c>
      <c r="AT34" s="113">
        <f t="shared" si="7"/>
        <v>0</v>
      </c>
    </row>
    <row r="35" spans="1:47" x14ac:dyDescent="0.25">
      <c r="A35" s="124" t="str">
        <f t="shared" si="10"/>
        <v>x</v>
      </c>
      <c r="B35" s="90">
        <f t="shared" si="0"/>
        <v>0</v>
      </c>
      <c r="C35" s="127"/>
      <c r="D35" s="111" t="e">
        <f t="shared" si="1"/>
        <v>#DIV/0!</v>
      </c>
      <c r="E35" s="90">
        <f t="shared" si="2"/>
        <v>0</v>
      </c>
      <c r="F35" s="109">
        <f t="shared" si="3"/>
        <v>0</v>
      </c>
      <c r="G35" s="109">
        <f t="shared" si="3"/>
        <v>0</v>
      </c>
      <c r="H35" s="109">
        <f t="shared" si="3"/>
        <v>0</v>
      </c>
      <c r="I35" s="109">
        <f t="shared" si="3"/>
        <v>0</v>
      </c>
      <c r="J35" s="109">
        <f t="shared" si="3"/>
        <v>0</v>
      </c>
      <c r="K35" s="109">
        <f t="shared" si="8"/>
        <v>0</v>
      </c>
      <c r="L35" s="109">
        <f t="shared" si="9"/>
        <v>0</v>
      </c>
      <c r="M35" s="109">
        <f t="shared" si="3"/>
        <v>0</v>
      </c>
      <c r="N35" s="109">
        <f t="shared" si="3"/>
        <v>0</v>
      </c>
      <c r="O35" s="90">
        <f t="shared" si="3"/>
        <v>0</v>
      </c>
      <c r="P35" s="109">
        <f t="shared" si="3"/>
        <v>0</v>
      </c>
      <c r="Q35" s="109">
        <f t="shared" si="3"/>
        <v>0</v>
      </c>
      <c r="R35" s="109">
        <f t="shared" si="4"/>
        <v>0</v>
      </c>
      <c r="S35" s="109">
        <f t="shared" si="4"/>
        <v>0</v>
      </c>
      <c r="T35" s="109">
        <f t="shared" si="4"/>
        <v>0</v>
      </c>
      <c r="U35" s="109">
        <f t="shared" si="4"/>
        <v>0</v>
      </c>
      <c r="V35" s="109" t="e">
        <f t="shared" si="5"/>
        <v>#DIV/0!</v>
      </c>
      <c r="W35" s="109">
        <f t="shared" si="6"/>
        <v>0</v>
      </c>
      <c r="X35" s="109">
        <f t="shared" si="6"/>
        <v>0</v>
      </c>
      <c r="Y35" s="109">
        <f t="shared" si="6"/>
        <v>0</v>
      </c>
      <c r="Z35" s="109">
        <f t="shared" si="6"/>
        <v>0</v>
      </c>
      <c r="AA35" s="109">
        <f t="shared" si="6"/>
        <v>0</v>
      </c>
      <c r="AB35" s="109">
        <f t="shared" si="6"/>
        <v>0</v>
      </c>
      <c r="AC35" s="109">
        <f t="shared" si="6"/>
        <v>0</v>
      </c>
      <c r="AD35" s="109">
        <f t="shared" si="6"/>
        <v>0</v>
      </c>
      <c r="AE35" s="109">
        <f t="shared" si="6"/>
        <v>0</v>
      </c>
      <c r="AF35" s="126">
        <f t="shared" si="6"/>
        <v>0</v>
      </c>
      <c r="AG35" s="126">
        <f t="shared" si="6"/>
        <v>0</v>
      </c>
      <c r="AH35" s="126">
        <f t="shared" si="6"/>
        <v>0</v>
      </c>
      <c r="AI35" s="126">
        <f t="shared" si="6"/>
        <v>0</v>
      </c>
      <c r="AJ35" s="126">
        <f t="shared" si="6"/>
        <v>0</v>
      </c>
      <c r="AK35" s="126">
        <f t="shared" si="6"/>
        <v>0</v>
      </c>
      <c r="AL35" s="126">
        <f t="shared" si="6"/>
        <v>0</v>
      </c>
      <c r="AM35" s="126">
        <f t="shared" si="6"/>
        <v>0</v>
      </c>
      <c r="AN35" s="126">
        <f t="shared" si="6"/>
        <v>0</v>
      </c>
      <c r="AO35" s="126">
        <f t="shared" si="6"/>
        <v>0</v>
      </c>
      <c r="AP35" s="126">
        <f t="shared" si="6"/>
        <v>0</v>
      </c>
      <c r="AQ35" s="126">
        <f t="shared" si="6"/>
        <v>0</v>
      </c>
      <c r="AR35" s="126">
        <f t="shared" si="6"/>
        <v>0</v>
      </c>
      <c r="AS35" s="126">
        <f t="shared" si="6"/>
        <v>0</v>
      </c>
      <c r="AT35" s="113">
        <f t="shared" si="7"/>
        <v>0</v>
      </c>
    </row>
    <row r="36" spans="1:47" x14ac:dyDescent="0.25">
      <c r="A36" s="124" t="str">
        <f>A17</f>
        <v>x</v>
      </c>
      <c r="B36" s="90">
        <f t="shared" si="0"/>
        <v>0</v>
      </c>
      <c r="C36" s="127"/>
      <c r="D36" s="111" t="e">
        <f t="shared" si="1"/>
        <v>#DIV/0!</v>
      </c>
      <c r="E36" s="90">
        <f t="shared" si="2"/>
        <v>0</v>
      </c>
      <c r="F36" s="109">
        <f t="shared" si="3"/>
        <v>0</v>
      </c>
      <c r="G36" s="109">
        <f t="shared" si="3"/>
        <v>0</v>
      </c>
      <c r="H36" s="109">
        <f t="shared" si="3"/>
        <v>0</v>
      </c>
      <c r="I36" s="109">
        <f t="shared" si="3"/>
        <v>0</v>
      </c>
      <c r="J36" s="109">
        <f t="shared" si="3"/>
        <v>0</v>
      </c>
      <c r="K36" s="109">
        <f t="shared" si="8"/>
        <v>0</v>
      </c>
      <c r="L36" s="109">
        <f t="shared" si="9"/>
        <v>0</v>
      </c>
      <c r="M36" s="109">
        <f t="shared" si="3"/>
        <v>0</v>
      </c>
      <c r="N36" s="109">
        <f t="shared" si="3"/>
        <v>0</v>
      </c>
      <c r="O36" s="90">
        <f t="shared" si="3"/>
        <v>0</v>
      </c>
      <c r="P36" s="109">
        <f t="shared" si="3"/>
        <v>0</v>
      </c>
      <c r="Q36" s="109">
        <f t="shared" si="3"/>
        <v>0</v>
      </c>
      <c r="R36" s="109">
        <f t="shared" si="4"/>
        <v>0</v>
      </c>
      <c r="S36" s="109">
        <f t="shared" si="4"/>
        <v>0</v>
      </c>
      <c r="T36" s="109">
        <f t="shared" si="4"/>
        <v>0</v>
      </c>
      <c r="U36" s="109">
        <f t="shared" si="4"/>
        <v>0</v>
      </c>
      <c r="V36" s="109" t="e">
        <f t="shared" si="5"/>
        <v>#DIV/0!</v>
      </c>
      <c r="W36" s="109">
        <f t="shared" si="6"/>
        <v>0</v>
      </c>
      <c r="X36" s="109">
        <f t="shared" si="6"/>
        <v>0</v>
      </c>
      <c r="Y36" s="109">
        <f t="shared" ref="Y36:AS36" si="11">$E36*Y17</f>
        <v>0</v>
      </c>
      <c r="Z36" s="109">
        <f t="shared" si="11"/>
        <v>0</v>
      </c>
      <c r="AA36" s="109">
        <f t="shared" si="11"/>
        <v>0</v>
      </c>
      <c r="AB36" s="109">
        <f t="shared" si="11"/>
        <v>0</v>
      </c>
      <c r="AC36" s="109">
        <f t="shared" si="11"/>
        <v>0</v>
      </c>
      <c r="AD36" s="109">
        <f t="shared" si="11"/>
        <v>0</v>
      </c>
      <c r="AE36" s="109">
        <f t="shared" si="11"/>
        <v>0</v>
      </c>
      <c r="AF36" s="126">
        <f t="shared" si="11"/>
        <v>0</v>
      </c>
      <c r="AG36" s="126">
        <f t="shared" si="11"/>
        <v>0</v>
      </c>
      <c r="AH36" s="126">
        <f t="shared" si="11"/>
        <v>0</v>
      </c>
      <c r="AI36" s="126">
        <f t="shared" si="11"/>
        <v>0</v>
      </c>
      <c r="AJ36" s="126">
        <f t="shared" si="11"/>
        <v>0</v>
      </c>
      <c r="AK36" s="126">
        <f t="shared" si="11"/>
        <v>0</v>
      </c>
      <c r="AL36" s="126">
        <f t="shared" si="11"/>
        <v>0</v>
      </c>
      <c r="AM36" s="126">
        <f t="shared" si="11"/>
        <v>0</v>
      </c>
      <c r="AN36" s="126">
        <f t="shared" si="11"/>
        <v>0</v>
      </c>
      <c r="AO36" s="126">
        <f t="shared" si="11"/>
        <v>0</v>
      </c>
      <c r="AP36" s="126">
        <f t="shared" si="11"/>
        <v>0</v>
      </c>
      <c r="AQ36" s="126">
        <f t="shared" si="11"/>
        <v>0</v>
      </c>
      <c r="AR36" s="126">
        <f t="shared" si="11"/>
        <v>0</v>
      </c>
      <c r="AS36" s="126">
        <f t="shared" si="11"/>
        <v>0</v>
      </c>
      <c r="AT36" s="113">
        <f t="shared" si="7"/>
        <v>0</v>
      </c>
    </row>
    <row r="37" spans="1:47" x14ac:dyDescent="0.25">
      <c r="A37" s="124" t="str">
        <f t="shared" si="10"/>
        <v>x</v>
      </c>
      <c r="B37" s="90">
        <f t="shared" si="0"/>
        <v>0</v>
      </c>
      <c r="C37" s="127"/>
      <c r="D37" s="111" t="e">
        <f t="shared" si="1"/>
        <v>#DIV/0!</v>
      </c>
      <c r="E37" s="90">
        <f t="shared" si="2"/>
        <v>0</v>
      </c>
      <c r="F37" s="109">
        <f t="shared" si="3"/>
        <v>0</v>
      </c>
      <c r="G37" s="109">
        <f t="shared" si="3"/>
        <v>0</v>
      </c>
      <c r="H37" s="109">
        <f t="shared" si="3"/>
        <v>0</v>
      </c>
      <c r="I37" s="109">
        <f t="shared" si="3"/>
        <v>0</v>
      </c>
      <c r="J37" s="109">
        <f t="shared" si="3"/>
        <v>0</v>
      </c>
      <c r="K37" s="109">
        <f t="shared" si="8"/>
        <v>0</v>
      </c>
      <c r="L37" s="109">
        <f t="shared" si="9"/>
        <v>0</v>
      </c>
      <c r="M37" s="109">
        <f t="shared" si="3"/>
        <v>0</v>
      </c>
      <c r="N37" s="109">
        <f t="shared" si="3"/>
        <v>0</v>
      </c>
      <c r="O37" s="90">
        <f t="shared" si="3"/>
        <v>0</v>
      </c>
      <c r="P37" s="109">
        <f t="shared" si="3"/>
        <v>0</v>
      </c>
      <c r="Q37" s="109">
        <f t="shared" si="3"/>
        <v>0</v>
      </c>
      <c r="R37" s="109">
        <f t="shared" si="4"/>
        <v>0</v>
      </c>
      <c r="S37" s="109">
        <f t="shared" si="4"/>
        <v>0</v>
      </c>
      <c r="T37" s="109">
        <f t="shared" si="4"/>
        <v>0</v>
      </c>
      <c r="U37" s="109">
        <f t="shared" si="4"/>
        <v>0</v>
      </c>
      <c r="V37" s="109" t="e">
        <f t="shared" si="5"/>
        <v>#DIV/0!</v>
      </c>
      <c r="W37" s="109">
        <f t="shared" ref="W37:AS40" si="12">$E37*W18</f>
        <v>0</v>
      </c>
      <c r="X37" s="109">
        <f t="shared" si="12"/>
        <v>0</v>
      </c>
      <c r="Y37" s="109">
        <f t="shared" si="12"/>
        <v>0</v>
      </c>
      <c r="Z37" s="109">
        <f t="shared" si="12"/>
        <v>0</v>
      </c>
      <c r="AA37" s="109">
        <f t="shared" si="12"/>
        <v>0</v>
      </c>
      <c r="AB37" s="109">
        <f t="shared" si="12"/>
        <v>0</v>
      </c>
      <c r="AC37" s="109">
        <f t="shared" si="12"/>
        <v>0</v>
      </c>
      <c r="AD37" s="109">
        <f t="shared" si="12"/>
        <v>0</v>
      </c>
      <c r="AE37" s="109">
        <f t="shared" si="12"/>
        <v>0</v>
      </c>
      <c r="AF37" s="126">
        <f t="shared" si="12"/>
        <v>0</v>
      </c>
      <c r="AG37" s="126">
        <f t="shared" si="12"/>
        <v>0</v>
      </c>
      <c r="AH37" s="126">
        <f t="shared" si="12"/>
        <v>0</v>
      </c>
      <c r="AI37" s="126">
        <f t="shared" si="12"/>
        <v>0</v>
      </c>
      <c r="AJ37" s="126">
        <f t="shared" si="12"/>
        <v>0</v>
      </c>
      <c r="AK37" s="126">
        <f t="shared" si="12"/>
        <v>0</v>
      </c>
      <c r="AL37" s="126">
        <f t="shared" si="12"/>
        <v>0</v>
      </c>
      <c r="AM37" s="126">
        <f t="shared" si="12"/>
        <v>0</v>
      </c>
      <c r="AN37" s="126">
        <f t="shared" si="12"/>
        <v>0</v>
      </c>
      <c r="AO37" s="126">
        <f t="shared" si="12"/>
        <v>0</v>
      </c>
      <c r="AP37" s="126">
        <f t="shared" si="12"/>
        <v>0</v>
      </c>
      <c r="AQ37" s="126">
        <f t="shared" si="12"/>
        <v>0</v>
      </c>
      <c r="AR37" s="126">
        <f t="shared" si="12"/>
        <v>0</v>
      </c>
      <c r="AS37" s="126">
        <f t="shared" si="12"/>
        <v>0</v>
      </c>
      <c r="AT37" s="113">
        <f t="shared" si="7"/>
        <v>0</v>
      </c>
    </row>
    <row r="38" spans="1:47" x14ac:dyDescent="0.25">
      <c r="A38" s="124" t="str">
        <f t="shared" si="10"/>
        <v>x</v>
      </c>
      <c r="B38" s="90">
        <f t="shared" si="0"/>
        <v>0</v>
      </c>
      <c r="C38" s="127"/>
      <c r="D38" s="111" t="e">
        <f t="shared" si="1"/>
        <v>#DIV/0!</v>
      </c>
      <c r="E38" s="90">
        <f t="shared" si="2"/>
        <v>0</v>
      </c>
      <c r="F38" s="109">
        <f t="shared" si="3"/>
        <v>0</v>
      </c>
      <c r="G38" s="109">
        <f t="shared" si="3"/>
        <v>0</v>
      </c>
      <c r="H38" s="109">
        <f t="shared" si="3"/>
        <v>0</v>
      </c>
      <c r="I38" s="109">
        <f t="shared" si="3"/>
        <v>0</v>
      </c>
      <c r="J38" s="109">
        <f t="shared" si="3"/>
        <v>0</v>
      </c>
      <c r="K38" s="109">
        <f t="shared" si="8"/>
        <v>0</v>
      </c>
      <c r="L38" s="109">
        <f t="shared" si="9"/>
        <v>0</v>
      </c>
      <c r="M38" s="109">
        <f t="shared" si="3"/>
        <v>0</v>
      </c>
      <c r="N38" s="109">
        <f t="shared" si="3"/>
        <v>0</v>
      </c>
      <c r="O38" s="90">
        <f t="shared" si="3"/>
        <v>0</v>
      </c>
      <c r="P38" s="109">
        <f t="shared" si="3"/>
        <v>0</v>
      </c>
      <c r="Q38" s="109">
        <f t="shared" si="3"/>
        <v>0</v>
      </c>
      <c r="R38" s="109">
        <f t="shared" si="4"/>
        <v>0</v>
      </c>
      <c r="S38" s="109">
        <f t="shared" si="4"/>
        <v>0</v>
      </c>
      <c r="T38" s="109">
        <f t="shared" si="4"/>
        <v>0</v>
      </c>
      <c r="U38" s="109">
        <f t="shared" si="4"/>
        <v>0</v>
      </c>
      <c r="V38" s="109" t="e">
        <f t="shared" si="5"/>
        <v>#DIV/0!</v>
      </c>
      <c r="W38" s="109">
        <f t="shared" si="12"/>
        <v>0</v>
      </c>
      <c r="X38" s="109">
        <f t="shared" si="12"/>
        <v>0</v>
      </c>
      <c r="Y38" s="109">
        <f t="shared" si="12"/>
        <v>0</v>
      </c>
      <c r="Z38" s="109">
        <f t="shared" si="12"/>
        <v>0</v>
      </c>
      <c r="AA38" s="109">
        <f t="shared" si="12"/>
        <v>0</v>
      </c>
      <c r="AB38" s="109">
        <f t="shared" si="12"/>
        <v>0</v>
      </c>
      <c r="AC38" s="109">
        <f t="shared" si="12"/>
        <v>0</v>
      </c>
      <c r="AD38" s="109">
        <f t="shared" si="12"/>
        <v>0</v>
      </c>
      <c r="AE38" s="109">
        <f t="shared" si="12"/>
        <v>0</v>
      </c>
      <c r="AF38" s="126">
        <f t="shared" si="12"/>
        <v>0</v>
      </c>
      <c r="AG38" s="126">
        <f t="shared" si="12"/>
        <v>0</v>
      </c>
      <c r="AH38" s="126">
        <f t="shared" si="12"/>
        <v>0</v>
      </c>
      <c r="AI38" s="126">
        <f t="shared" si="12"/>
        <v>0</v>
      </c>
      <c r="AJ38" s="126">
        <f t="shared" si="12"/>
        <v>0</v>
      </c>
      <c r="AK38" s="126">
        <f t="shared" si="12"/>
        <v>0</v>
      </c>
      <c r="AL38" s="126">
        <f t="shared" si="12"/>
        <v>0</v>
      </c>
      <c r="AM38" s="126">
        <f t="shared" si="12"/>
        <v>0</v>
      </c>
      <c r="AN38" s="126">
        <f t="shared" si="12"/>
        <v>0</v>
      </c>
      <c r="AO38" s="126">
        <f t="shared" si="12"/>
        <v>0</v>
      </c>
      <c r="AP38" s="126">
        <f t="shared" si="12"/>
        <v>0</v>
      </c>
      <c r="AQ38" s="126">
        <f t="shared" si="12"/>
        <v>0</v>
      </c>
      <c r="AR38" s="126">
        <f t="shared" si="12"/>
        <v>0</v>
      </c>
      <c r="AS38" s="126">
        <f t="shared" si="12"/>
        <v>0</v>
      </c>
      <c r="AT38" s="113">
        <f t="shared" si="7"/>
        <v>0</v>
      </c>
    </row>
    <row r="39" spans="1:47" x14ac:dyDescent="0.25">
      <c r="A39" s="124" t="str">
        <f t="shared" si="10"/>
        <v>x</v>
      </c>
      <c r="B39" s="90">
        <f t="shared" si="0"/>
        <v>0</v>
      </c>
      <c r="C39" s="127"/>
      <c r="D39" s="111" t="e">
        <f t="shared" si="1"/>
        <v>#DIV/0!</v>
      </c>
      <c r="E39" s="90">
        <f t="shared" si="2"/>
        <v>0</v>
      </c>
      <c r="F39" s="109">
        <f t="shared" si="3"/>
        <v>0</v>
      </c>
      <c r="G39" s="109">
        <f t="shared" si="3"/>
        <v>0</v>
      </c>
      <c r="H39" s="109">
        <f t="shared" si="3"/>
        <v>0</v>
      </c>
      <c r="I39" s="109">
        <f t="shared" si="3"/>
        <v>0</v>
      </c>
      <c r="J39" s="109">
        <f t="shared" si="3"/>
        <v>0</v>
      </c>
      <c r="K39" s="109">
        <f t="shared" si="8"/>
        <v>0</v>
      </c>
      <c r="L39" s="109">
        <f t="shared" si="9"/>
        <v>0</v>
      </c>
      <c r="M39" s="109">
        <f t="shared" si="3"/>
        <v>0</v>
      </c>
      <c r="N39" s="109">
        <f t="shared" si="3"/>
        <v>0</v>
      </c>
      <c r="O39" s="90">
        <f t="shared" si="3"/>
        <v>0</v>
      </c>
      <c r="P39" s="109">
        <f t="shared" si="3"/>
        <v>0</v>
      </c>
      <c r="Q39" s="109">
        <f t="shared" si="3"/>
        <v>0</v>
      </c>
      <c r="R39" s="109">
        <f t="shared" si="4"/>
        <v>0</v>
      </c>
      <c r="S39" s="109">
        <f t="shared" si="4"/>
        <v>0</v>
      </c>
      <c r="T39" s="109">
        <f t="shared" si="4"/>
        <v>0</v>
      </c>
      <c r="U39" s="109">
        <f t="shared" si="4"/>
        <v>0</v>
      </c>
      <c r="V39" s="109" t="e">
        <f t="shared" si="5"/>
        <v>#DIV/0!</v>
      </c>
      <c r="W39" s="109">
        <f t="shared" si="12"/>
        <v>0</v>
      </c>
      <c r="X39" s="109">
        <f t="shared" si="12"/>
        <v>0</v>
      </c>
      <c r="Y39" s="109">
        <f t="shared" si="12"/>
        <v>0</v>
      </c>
      <c r="Z39" s="109">
        <f t="shared" si="12"/>
        <v>0</v>
      </c>
      <c r="AA39" s="109">
        <f t="shared" si="12"/>
        <v>0</v>
      </c>
      <c r="AB39" s="109">
        <f t="shared" si="12"/>
        <v>0</v>
      </c>
      <c r="AC39" s="109">
        <f t="shared" si="12"/>
        <v>0</v>
      </c>
      <c r="AD39" s="109">
        <f t="shared" si="12"/>
        <v>0</v>
      </c>
      <c r="AE39" s="109">
        <f t="shared" si="12"/>
        <v>0</v>
      </c>
      <c r="AF39" s="126">
        <f t="shared" si="12"/>
        <v>0</v>
      </c>
      <c r="AG39" s="126">
        <f t="shared" si="12"/>
        <v>0</v>
      </c>
      <c r="AH39" s="126">
        <f t="shared" si="12"/>
        <v>0</v>
      </c>
      <c r="AI39" s="126">
        <f t="shared" si="12"/>
        <v>0</v>
      </c>
      <c r="AJ39" s="126">
        <f t="shared" si="12"/>
        <v>0</v>
      </c>
      <c r="AK39" s="126">
        <f t="shared" si="12"/>
        <v>0</v>
      </c>
      <c r="AL39" s="126">
        <f t="shared" si="12"/>
        <v>0</v>
      </c>
      <c r="AM39" s="126">
        <f t="shared" si="12"/>
        <v>0</v>
      </c>
      <c r="AN39" s="126">
        <f t="shared" si="12"/>
        <v>0</v>
      </c>
      <c r="AO39" s="126">
        <f t="shared" si="12"/>
        <v>0</v>
      </c>
      <c r="AP39" s="126">
        <f t="shared" si="12"/>
        <v>0</v>
      </c>
      <c r="AQ39" s="126">
        <f t="shared" si="12"/>
        <v>0</v>
      </c>
      <c r="AR39" s="126">
        <f t="shared" si="12"/>
        <v>0</v>
      </c>
      <c r="AS39" s="126">
        <f t="shared" si="12"/>
        <v>0</v>
      </c>
      <c r="AT39" s="113">
        <f t="shared" si="7"/>
        <v>0</v>
      </c>
    </row>
    <row r="40" spans="1:47" ht="17.25" thickBot="1" x14ac:dyDescent="0.3">
      <c r="A40" s="129" t="str">
        <f t="shared" si="10"/>
        <v>x</v>
      </c>
      <c r="B40" s="121">
        <f t="shared" si="0"/>
        <v>0</v>
      </c>
      <c r="C40" s="130"/>
      <c r="D40" s="120" t="e">
        <f t="shared" si="1"/>
        <v>#DIV/0!</v>
      </c>
      <c r="E40" s="121">
        <f t="shared" si="2"/>
        <v>0</v>
      </c>
      <c r="F40" s="117">
        <f t="shared" si="3"/>
        <v>0</v>
      </c>
      <c r="G40" s="117">
        <f t="shared" si="3"/>
        <v>0</v>
      </c>
      <c r="H40" s="117">
        <f t="shared" si="3"/>
        <v>0</v>
      </c>
      <c r="I40" s="117">
        <f t="shared" si="3"/>
        <v>0</v>
      </c>
      <c r="J40" s="117">
        <f t="shared" si="3"/>
        <v>0</v>
      </c>
      <c r="K40" s="117">
        <f t="shared" si="8"/>
        <v>0</v>
      </c>
      <c r="L40" s="117">
        <f t="shared" si="9"/>
        <v>0</v>
      </c>
      <c r="M40" s="117">
        <f t="shared" si="3"/>
        <v>0</v>
      </c>
      <c r="N40" s="117">
        <f t="shared" si="3"/>
        <v>0</v>
      </c>
      <c r="O40" s="121">
        <f t="shared" si="3"/>
        <v>0</v>
      </c>
      <c r="P40" s="117">
        <f t="shared" si="3"/>
        <v>0</v>
      </c>
      <c r="Q40" s="117">
        <f t="shared" si="3"/>
        <v>0</v>
      </c>
      <c r="R40" s="117">
        <f t="shared" si="4"/>
        <v>0</v>
      </c>
      <c r="S40" s="117">
        <f t="shared" si="4"/>
        <v>0</v>
      </c>
      <c r="T40" s="117">
        <f t="shared" si="4"/>
        <v>0</v>
      </c>
      <c r="U40" s="117">
        <f t="shared" si="4"/>
        <v>0</v>
      </c>
      <c r="V40" s="117" t="e">
        <f t="shared" si="5"/>
        <v>#DIV/0!</v>
      </c>
      <c r="W40" s="117">
        <f t="shared" si="12"/>
        <v>0</v>
      </c>
      <c r="X40" s="117">
        <f t="shared" si="12"/>
        <v>0</v>
      </c>
      <c r="Y40" s="117">
        <f t="shared" si="12"/>
        <v>0</v>
      </c>
      <c r="Z40" s="117">
        <f t="shared" si="12"/>
        <v>0</v>
      </c>
      <c r="AA40" s="117">
        <f t="shared" si="12"/>
        <v>0</v>
      </c>
      <c r="AB40" s="117">
        <f t="shared" si="12"/>
        <v>0</v>
      </c>
      <c r="AC40" s="117">
        <f t="shared" si="12"/>
        <v>0</v>
      </c>
      <c r="AD40" s="117">
        <f t="shared" si="12"/>
        <v>0</v>
      </c>
      <c r="AE40" s="117">
        <f t="shared" si="12"/>
        <v>0</v>
      </c>
      <c r="AF40" s="131">
        <f t="shared" si="12"/>
        <v>0</v>
      </c>
      <c r="AG40" s="131">
        <f t="shared" si="12"/>
        <v>0</v>
      </c>
      <c r="AH40" s="131">
        <f t="shared" si="12"/>
        <v>0</v>
      </c>
      <c r="AI40" s="131">
        <f t="shared" si="12"/>
        <v>0</v>
      </c>
      <c r="AJ40" s="131">
        <f t="shared" si="12"/>
        <v>0</v>
      </c>
      <c r="AK40" s="131">
        <f t="shared" si="12"/>
        <v>0</v>
      </c>
      <c r="AL40" s="131">
        <f t="shared" si="12"/>
        <v>0</v>
      </c>
      <c r="AM40" s="131">
        <f t="shared" si="12"/>
        <v>0</v>
      </c>
      <c r="AN40" s="131">
        <f t="shared" si="12"/>
        <v>0</v>
      </c>
      <c r="AO40" s="131">
        <f t="shared" si="12"/>
        <v>0</v>
      </c>
      <c r="AP40" s="131">
        <f t="shared" si="12"/>
        <v>0</v>
      </c>
      <c r="AQ40" s="131">
        <f t="shared" si="12"/>
        <v>0</v>
      </c>
      <c r="AR40" s="131">
        <f t="shared" si="12"/>
        <v>0</v>
      </c>
      <c r="AS40" s="131">
        <f t="shared" si="12"/>
        <v>0</v>
      </c>
      <c r="AT40" s="113">
        <f t="shared" si="7"/>
        <v>0</v>
      </c>
    </row>
    <row r="41" spans="1:47" ht="17.25" thickTop="1" x14ac:dyDescent="0.25">
      <c r="B41" s="109"/>
      <c r="D41" s="111"/>
      <c r="E41" s="82"/>
      <c r="AF41" s="77"/>
      <c r="AG41" s="77"/>
      <c r="AH41" s="77"/>
      <c r="AI41" s="77"/>
    </row>
    <row r="42" spans="1:47" ht="17.25" thickBot="1" x14ac:dyDescent="0.3">
      <c r="A42" s="89" t="s">
        <v>32</v>
      </c>
      <c r="B42" s="77"/>
      <c r="C42" s="113">
        <f t="shared" ref="C42:AS42" si="13">SUM(C25:C40)</f>
        <v>0</v>
      </c>
      <c r="D42" s="111" t="e">
        <f>SUM(D25:D40)</f>
        <v>#DIV/0!</v>
      </c>
      <c r="E42" s="132" t="e">
        <f>E43/C42</f>
        <v>#DIV/0!</v>
      </c>
      <c r="F42" s="90">
        <f>SUM(F25:F40)</f>
        <v>0</v>
      </c>
      <c r="G42" s="90">
        <f>SUM(G25:G40)</f>
        <v>0</v>
      </c>
      <c r="H42" s="90">
        <f t="shared" si="13"/>
        <v>0</v>
      </c>
      <c r="I42" s="113">
        <f>SUM(I25:I40)</f>
        <v>0</v>
      </c>
      <c r="J42" s="113">
        <f t="shared" si="13"/>
        <v>0</v>
      </c>
      <c r="K42" s="113">
        <f t="shared" si="13"/>
        <v>0</v>
      </c>
      <c r="L42" s="113">
        <f t="shared" si="13"/>
        <v>0</v>
      </c>
      <c r="M42" s="113">
        <f t="shared" si="13"/>
        <v>0</v>
      </c>
      <c r="N42" s="113">
        <f t="shared" si="13"/>
        <v>0</v>
      </c>
      <c r="O42" s="113">
        <f>SUM(O25:O40)</f>
        <v>0</v>
      </c>
      <c r="P42" s="113">
        <f t="shared" si="13"/>
        <v>0</v>
      </c>
      <c r="Q42" s="113">
        <f t="shared" si="13"/>
        <v>0</v>
      </c>
      <c r="R42" s="109">
        <f t="shared" si="13"/>
        <v>0</v>
      </c>
      <c r="S42" s="113">
        <f t="shared" si="13"/>
        <v>0</v>
      </c>
      <c r="T42" s="113">
        <f t="shared" si="13"/>
        <v>0</v>
      </c>
      <c r="U42" s="113">
        <f t="shared" si="13"/>
        <v>0</v>
      </c>
      <c r="V42" s="113" t="e">
        <f t="shared" si="13"/>
        <v>#DIV/0!</v>
      </c>
      <c r="W42" s="109">
        <f t="shared" si="13"/>
        <v>0</v>
      </c>
      <c r="X42" s="109">
        <f t="shared" si="13"/>
        <v>0</v>
      </c>
      <c r="Y42" s="109">
        <f t="shared" si="13"/>
        <v>0</v>
      </c>
      <c r="Z42" s="109">
        <f t="shared" si="13"/>
        <v>0</v>
      </c>
      <c r="AA42" s="109">
        <f t="shared" si="13"/>
        <v>0</v>
      </c>
      <c r="AB42" s="109">
        <f t="shared" si="13"/>
        <v>0</v>
      </c>
      <c r="AC42" s="109">
        <f t="shared" si="13"/>
        <v>0</v>
      </c>
      <c r="AD42" s="109">
        <f t="shared" si="13"/>
        <v>0</v>
      </c>
      <c r="AE42" s="109">
        <f t="shared" si="13"/>
        <v>0</v>
      </c>
      <c r="AF42" s="113">
        <f t="shared" si="13"/>
        <v>0</v>
      </c>
      <c r="AG42" s="113">
        <f t="shared" si="13"/>
        <v>0</v>
      </c>
      <c r="AH42" s="113">
        <f>SUM(AH25:AH40)</f>
        <v>0</v>
      </c>
      <c r="AI42" s="113">
        <f>SUM(AI25:AI40)</f>
        <v>0</v>
      </c>
      <c r="AJ42" s="113">
        <f>SUM(AJ25:AJ40)</f>
        <v>0</v>
      </c>
      <c r="AK42" s="113">
        <f>SUM(AK25:AK40)</f>
        <v>0</v>
      </c>
      <c r="AL42" s="113">
        <f t="shared" si="13"/>
        <v>0</v>
      </c>
      <c r="AM42" s="115">
        <f>SUM(AM25:AM40)</f>
        <v>0</v>
      </c>
      <c r="AN42" s="115">
        <f t="shared" si="13"/>
        <v>0</v>
      </c>
      <c r="AO42" s="115">
        <f t="shared" si="13"/>
        <v>0</v>
      </c>
      <c r="AP42" s="113">
        <f t="shared" si="13"/>
        <v>0</v>
      </c>
      <c r="AQ42" s="113">
        <f t="shared" si="13"/>
        <v>0</v>
      </c>
      <c r="AR42" s="113">
        <f t="shared" si="13"/>
        <v>0</v>
      </c>
      <c r="AS42" s="113">
        <f t="shared" si="13"/>
        <v>0</v>
      </c>
    </row>
    <row r="43" spans="1:47" ht="18" thickTop="1" thickBot="1" x14ac:dyDescent="0.3">
      <c r="A43" s="133" t="s">
        <v>71</v>
      </c>
      <c r="B43" s="134"/>
      <c r="C43" s="135"/>
      <c r="D43" s="136"/>
      <c r="E43" s="137">
        <f>SUM(E25:E40)</f>
        <v>0</v>
      </c>
      <c r="F43" s="138" t="e">
        <f>F42/$E43</f>
        <v>#DIV/0!</v>
      </c>
      <c r="G43" s="138" t="e">
        <f>G42/$E43</f>
        <v>#DIV/0!</v>
      </c>
      <c r="H43" s="138" t="e">
        <f t="shared" ref="H43:AO43" si="14">H42/$E43</f>
        <v>#DIV/0!</v>
      </c>
      <c r="I43" s="139" t="e">
        <f t="shared" si="14"/>
        <v>#DIV/0!</v>
      </c>
      <c r="J43" s="139" t="e">
        <f t="shared" si="14"/>
        <v>#DIV/0!</v>
      </c>
      <c r="K43" s="139" t="e">
        <f>K42/$E43</f>
        <v>#DIV/0!</v>
      </c>
      <c r="L43" s="139" t="e">
        <f t="shared" si="14"/>
        <v>#DIV/0!</v>
      </c>
      <c r="M43" s="139" t="e">
        <f t="shared" si="14"/>
        <v>#DIV/0!</v>
      </c>
      <c r="N43" s="139" t="e">
        <f t="shared" si="14"/>
        <v>#DIV/0!</v>
      </c>
      <c r="O43" s="140" t="e">
        <f t="shared" si="14"/>
        <v>#DIV/0!</v>
      </c>
      <c r="P43" s="139" t="e">
        <f t="shared" si="14"/>
        <v>#DIV/0!</v>
      </c>
      <c r="Q43" s="139" t="e">
        <f t="shared" si="14"/>
        <v>#DIV/0!</v>
      </c>
      <c r="R43" s="139" t="e">
        <f t="shared" si="14"/>
        <v>#DIV/0!</v>
      </c>
      <c r="S43" s="139" t="e">
        <f t="shared" si="14"/>
        <v>#DIV/0!</v>
      </c>
      <c r="T43" s="139" t="e">
        <f t="shared" si="14"/>
        <v>#DIV/0!</v>
      </c>
      <c r="U43" s="139" t="e">
        <f t="shared" si="14"/>
        <v>#DIV/0!</v>
      </c>
      <c r="V43" s="139" t="e">
        <f t="shared" si="14"/>
        <v>#DIV/0!</v>
      </c>
      <c r="W43" s="138" t="e">
        <f t="shared" si="14"/>
        <v>#DIV/0!</v>
      </c>
      <c r="X43" s="138" t="e">
        <f t="shared" si="14"/>
        <v>#DIV/0!</v>
      </c>
      <c r="Y43" s="138" t="e">
        <f t="shared" si="14"/>
        <v>#DIV/0!</v>
      </c>
      <c r="Z43" s="138" t="e">
        <f t="shared" si="14"/>
        <v>#DIV/0!</v>
      </c>
      <c r="AA43" s="138" t="e">
        <f t="shared" si="14"/>
        <v>#DIV/0!</v>
      </c>
      <c r="AB43" s="138" t="e">
        <f t="shared" si="14"/>
        <v>#DIV/0!</v>
      </c>
      <c r="AC43" s="138" t="e">
        <f t="shared" si="14"/>
        <v>#DIV/0!</v>
      </c>
      <c r="AD43" s="138" t="e">
        <f t="shared" si="14"/>
        <v>#DIV/0!</v>
      </c>
      <c r="AE43" s="138" t="e">
        <f t="shared" si="14"/>
        <v>#DIV/0!</v>
      </c>
      <c r="AF43" s="140" t="e">
        <f t="shared" si="14"/>
        <v>#DIV/0!</v>
      </c>
      <c r="AG43" s="137" t="e">
        <f t="shared" si="14"/>
        <v>#DIV/0!</v>
      </c>
      <c r="AH43" s="137" t="e">
        <f t="shared" si="14"/>
        <v>#DIV/0!</v>
      </c>
      <c r="AI43" s="137" t="e">
        <f t="shared" si="14"/>
        <v>#DIV/0!</v>
      </c>
      <c r="AJ43" s="140" t="e">
        <f t="shared" si="14"/>
        <v>#DIV/0!</v>
      </c>
      <c r="AK43" s="140" t="e">
        <f t="shared" si="14"/>
        <v>#DIV/0!</v>
      </c>
      <c r="AL43" s="137" t="e">
        <f t="shared" si="14"/>
        <v>#DIV/0!</v>
      </c>
      <c r="AM43" s="137" t="e">
        <f t="shared" si="14"/>
        <v>#DIV/0!</v>
      </c>
      <c r="AN43" s="137" t="e">
        <f t="shared" si="14"/>
        <v>#DIV/0!</v>
      </c>
      <c r="AO43" s="137" t="e">
        <f t="shared" si="14"/>
        <v>#DIV/0!</v>
      </c>
      <c r="AP43" s="141">
        <f t="shared" ref="AP43:AS43" si="15">AP42</f>
        <v>0</v>
      </c>
      <c r="AQ43" s="141">
        <f t="shared" si="15"/>
        <v>0</v>
      </c>
      <c r="AR43" s="141">
        <f t="shared" si="15"/>
        <v>0</v>
      </c>
      <c r="AS43" s="216">
        <f t="shared" si="15"/>
        <v>0</v>
      </c>
    </row>
    <row r="44" spans="1:47" s="87" customFormat="1" ht="6" customHeight="1" thickTop="1" thickBot="1" x14ac:dyDescent="0.3">
      <c r="A44" s="142"/>
      <c r="B44" s="109"/>
      <c r="C44" s="77"/>
      <c r="D44" s="77"/>
      <c r="E44" s="143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  <c r="AA44" s="143"/>
      <c r="AB44" s="143"/>
      <c r="AC44" s="143"/>
      <c r="AD44" s="143"/>
      <c r="AE44" s="143"/>
      <c r="AF44" s="143"/>
      <c r="AG44" s="143"/>
      <c r="AH44" s="143"/>
      <c r="AI44" s="143"/>
      <c r="AJ44" s="143"/>
      <c r="AK44" s="143"/>
      <c r="AL44" s="143"/>
      <c r="AM44" s="144"/>
      <c r="AN44" s="144"/>
      <c r="AO44" s="144"/>
      <c r="AP44" s="143"/>
      <c r="AQ44" s="143"/>
      <c r="AR44" s="143"/>
      <c r="AS44" s="143"/>
    </row>
    <row r="45" spans="1:47" s="153" customFormat="1" ht="18" thickTop="1" thickBot="1" x14ac:dyDescent="0.3">
      <c r="A45" s="145" t="s">
        <v>200</v>
      </c>
      <c r="B45" s="146"/>
      <c r="C45" s="147"/>
      <c r="D45" s="147"/>
      <c r="E45" s="148">
        <f>((1.97-(0.75*EXP(0.16*(D2-280))))/100)*D1</f>
        <v>0</v>
      </c>
      <c r="F45" s="149" t="s">
        <v>258</v>
      </c>
      <c r="G45" s="150">
        <v>0.1</v>
      </c>
      <c r="H45" s="149" t="s">
        <v>259</v>
      </c>
      <c r="I45" s="149"/>
      <c r="J45" s="149" t="s">
        <v>283</v>
      </c>
      <c r="K45" s="149"/>
      <c r="L45" s="149"/>
      <c r="M45" s="149" t="s">
        <v>242</v>
      </c>
      <c r="N45" s="149"/>
      <c r="O45" s="151" t="s">
        <v>261</v>
      </c>
      <c r="P45" s="149">
        <v>0.57999999999999996</v>
      </c>
      <c r="Q45" s="149" t="s">
        <v>191</v>
      </c>
      <c r="R45" s="149"/>
      <c r="S45" s="149"/>
      <c r="T45" s="149"/>
      <c r="U45" s="149"/>
      <c r="V45" s="149"/>
      <c r="W45" s="150"/>
      <c r="X45" s="150"/>
      <c r="Y45" s="150" t="s">
        <v>289</v>
      </c>
      <c r="Z45" s="150" t="s">
        <v>290</v>
      </c>
      <c r="AA45" s="150" t="s">
        <v>291</v>
      </c>
      <c r="AB45" s="150">
        <v>6.0000000000000001E-3</v>
      </c>
      <c r="AC45" s="150" t="s">
        <v>192</v>
      </c>
      <c r="AD45" s="150">
        <v>1.6000000000000001E-3</v>
      </c>
      <c r="AE45" s="150">
        <v>1.2999999999999999E-3</v>
      </c>
      <c r="AF45" s="151">
        <v>0.2</v>
      </c>
      <c r="AG45" s="148">
        <v>20</v>
      </c>
      <c r="AH45" s="148" t="s">
        <v>70</v>
      </c>
      <c r="AI45" s="148" t="s">
        <v>70</v>
      </c>
      <c r="AJ45" s="151">
        <v>0.3</v>
      </c>
      <c r="AK45" s="151">
        <v>0.5</v>
      </c>
      <c r="AL45" s="148">
        <v>13</v>
      </c>
      <c r="AM45" s="152">
        <v>8000</v>
      </c>
      <c r="AN45" s="152">
        <v>2000</v>
      </c>
      <c r="AO45" s="152" t="s">
        <v>328</v>
      </c>
      <c r="AP45" s="148"/>
      <c r="AQ45" s="148" t="s">
        <v>327</v>
      </c>
      <c r="AR45" s="148"/>
      <c r="AS45" s="148"/>
    </row>
    <row r="46" spans="1:47" ht="17.25" thickTop="1" x14ac:dyDescent="0.25">
      <c r="A46" s="89"/>
      <c r="B46" s="77"/>
      <c r="C46" s="77"/>
      <c r="D46" s="77"/>
      <c r="E46" s="207"/>
      <c r="F46" s="85"/>
      <c r="H46" s="77"/>
      <c r="I46" s="77"/>
      <c r="J46" s="77"/>
      <c r="K46" s="77"/>
      <c r="L46" s="77"/>
      <c r="M46" s="85"/>
      <c r="N46" s="77"/>
      <c r="O46" s="77"/>
      <c r="P46" s="77"/>
      <c r="Q46" s="162"/>
      <c r="S46" s="85"/>
      <c r="T46" s="77"/>
      <c r="U46" s="77"/>
      <c r="V46" s="77"/>
      <c r="W46" s="159"/>
      <c r="X46" s="159"/>
      <c r="Z46" s="85"/>
      <c r="AA46" s="85"/>
      <c r="AB46" s="85"/>
      <c r="AC46" s="85"/>
      <c r="AD46" s="85"/>
      <c r="AE46" s="85"/>
      <c r="AF46" s="98"/>
      <c r="AG46" s="98"/>
      <c r="AH46" s="98"/>
      <c r="AI46" s="98"/>
      <c r="AJ46" s="98"/>
      <c r="AK46" s="98"/>
      <c r="AL46" s="98"/>
      <c r="AM46" s="98"/>
      <c r="AN46" s="98"/>
      <c r="AO46" s="98"/>
      <c r="AR46" s="98"/>
      <c r="AS46" s="98"/>
      <c r="AU46" s="98"/>
    </row>
    <row r="47" spans="1:47" x14ac:dyDescent="0.25">
      <c r="F47" s="77"/>
      <c r="G47" s="161"/>
      <c r="H47" s="87"/>
      <c r="J47" s="85" t="s">
        <v>190</v>
      </c>
      <c r="Q47" s="162"/>
      <c r="T47" s="77"/>
      <c r="U47" s="77"/>
      <c r="V47" s="77"/>
      <c r="W47" s="85"/>
      <c r="X47" s="85"/>
      <c r="AA47" s="164"/>
      <c r="AB47" s="85"/>
      <c r="AC47" s="85"/>
      <c r="AE47" s="85"/>
      <c r="AF47" s="98"/>
      <c r="AG47" s="98"/>
      <c r="AH47" s="98"/>
      <c r="AI47" s="98"/>
      <c r="AJ47" s="98"/>
      <c r="AK47" s="98"/>
      <c r="AL47" s="98"/>
      <c r="AM47" s="98"/>
      <c r="AN47" s="98"/>
      <c r="AO47" s="98"/>
      <c r="AR47" s="98"/>
      <c r="AS47" s="98"/>
      <c r="AT47" s="98"/>
      <c r="AU47" s="98"/>
    </row>
    <row r="48" spans="1:47" x14ac:dyDescent="0.25">
      <c r="G48" s="85"/>
      <c r="H48" s="75" t="s">
        <v>174</v>
      </c>
      <c r="I48" s="161" t="e">
        <f>M42/D1</f>
        <v>#DIV/0!</v>
      </c>
      <c r="J48" s="93" t="s">
        <v>243</v>
      </c>
      <c r="Q48" s="162"/>
      <c r="W48" s="85"/>
      <c r="X48" s="163"/>
      <c r="AA48" s="165"/>
      <c r="AE48" s="85"/>
      <c r="AF48" s="85"/>
      <c r="AG48" s="85"/>
      <c r="AH48" s="85"/>
      <c r="AT48" s="98"/>
      <c r="AU48" s="98"/>
    </row>
    <row r="49" spans="2:35" x14ac:dyDescent="0.25">
      <c r="G49" s="85"/>
      <c r="H49" s="75" t="s">
        <v>197</v>
      </c>
      <c r="I49" s="161" t="e">
        <f>(SUMIF(AT$25:AT$40,"F",E$25:E$40)+SUMIF(AT$25:AT$40,"S",E$25:E$40))/E$43</f>
        <v>#DIV/0!</v>
      </c>
      <c r="J49" s="85" t="s">
        <v>205</v>
      </c>
      <c r="Q49" s="77"/>
      <c r="X49" s="77"/>
      <c r="AA49" s="85"/>
      <c r="AE49" s="85"/>
      <c r="AF49" s="85"/>
      <c r="AG49" s="85"/>
      <c r="AH49" s="85"/>
    </row>
    <row r="50" spans="2:35" x14ac:dyDescent="0.25">
      <c r="G50" s="87"/>
      <c r="H50" s="75" t="s">
        <v>187</v>
      </c>
      <c r="I50" s="189" t="e">
        <f>K43/V43</f>
        <v>#DIV/0!</v>
      </c>
      <c r="J50" s="85" t="s">
        <v>188</v>
      </c>
      <c r="Q50" s="77"/>
      <c r="X50" s="77"/>
      <c r="Z50" s="77"/>
      <c r="AA50" s="77"/>
      <c r="AB50" s="77"/>
      <c r="AC50" s="77"/>
      <c r="AD50" s="77"/>
      <c r="AE50" s="77"/>
      <c r="AF50" s="77"/>
      <c r="AG50" s="77"/>
      <c r="AH50" s="77"/>
      <c r="AI50" s="77"/>
    </row>
    <row r="51" spans="2:35" x14ac:dyDescent="0.25">
      <c r="F51" s="77"/>
      <c r="G51" s="87"/>
      <c r="H51" s="75" t="s">
        <v>193</v>
      </c>
      <c r="I51" s="159" t="e">
        <f>X42/W42</f>
        <v>#DIV/0!</v>
      </c>
      <c r="J51" s="85">
        <v>3</v>
      </c>
      <c r="Q51" s="77"/>
      <c r="Z51" s="85"/>
      <c r="AA51" s="85"/>
      <c r="AE51" s="85"/>
      <c r="AF51" s="85"/>
      <c r="AG51" s="85"/>
      <c r="AH51" s="85"/>
      <c r="AI51" s="85"/>
    </row>
    <row r="52" spans="2:35" x14ac:dyDescent="0.25">
      <c r="C52" s="154"/>
      <c r="D52" s="77"/>
      <c r="E52" s="77"/>
      <c r="F52" s="77"/>
      <c r="G52" s="87"/>
      <c r="H52" s="75" t="s">
        <v>52</v>
      </c>
      <c r="I52" s="159" t="e">
        <f>Y42/Z42</f>
        <v>#DIV/0!</v>
      </c>
      <c r="J52" s="163" t="s">
        <v>226</v>
      </c>
      <c r="Q52" s="164"/>
    </row>
    <row r="53" spans="2:35" x14ac:dyDescent="0.25">
      <c r="H53" s="166" t="s">
        <v>239</v>
      </c>
      <c r="I53" s="161" t="e">
        <f>(2.365+(0.214*((SUMIF(AT25:AT40,"F",E25:E40)+SUMIF(AT25:AT40,"S",E25:E40))/D1*100))+(0.734*(SUMIF(AT25:AT40,"C",E25:E40)/D1*100)+(0.069*(SUMIF(AT25:AT40,"S",E25:E40)+SUMIF(AT25:AT40,"F",E25:E40)))))/100</f>
        <v>#DIV/0!</v>
      </c>
      <c r="J53" s="77"/>
      <c r="K53" s="77"/>
      <c r="L53" s="77"/>
      <c r="M53" s="124"/>
      <c r="N53" s="190"/>
      <c r="O53" s="165"/>
      <c r="P53" s="168"/>
      <c r="Q53" s="124"/>
      <c r="R53" s="124"/>
      <c r="V53" s="124"/>
    </row>
    <row r="54" spans="2:35" x14ac:dyDescent="0.25">
      <c r="H54" s="75" t="s">
        <v>240</v>
      </c>
      <c r="I54" s="161" t="e">
        <f>(1.169+(1.375*(SUMIF(AT25:AT40,"F",E25:E40)+SUMIF(AT25:AT40,"S",E25:E40))/D1*100)+(1.721*SUMIF(AT25:AT40,"C",E25:E40)/D1*100))/100</f>
        <v>#DIV/0!</v>
      </c>
      <c r="J54" s="77"/>
      <c r="K54" s="77"/>
      <c r="L54" s="77"/>
      <c r="M54" s="168"/>
      <c r="P54" s="168"/>
      <c r="Q54" s="168"/>
      <c r="R54" s="168"/>
      <c r="V54" s="168"/>
    </row>
    <row r="55" spans="2:35" x14ac:dyDescent="0.25">
      <c r="H55" s="167" t="s">
        <v>241</v>
      </c>
      <c r="I55" s="161" t="e">
        <f>(4.524+(0.223*(SUMIF(AT25:AT40,"F",E25:E40)+SUMIF(AT25:AT40,"S",E25:E40))/D1*100)+(2.046*SUMIF(AT25:AT40,"C",E25:E40)/D1*100)+(0.344*(SUMIF(AT25:AT40,"F",E25:E40)+SUMIF(AT25:AT40,"S",E25:E40))))/100</f>
        <v>#DIV/0!</v>
      </c>
      <c r="M55" s="124"/>
      <c r="P55" s="124"/>
      <c r="Q55" s="124"/>
      <c r="R55" s="124"/>
      <c r="V55" s="124"/>
    </row>
    <row r="56" spans="2:35" x14ac:dyDescent="0.25">
      <c r="I56" s="168"/>
      <c r="J56" s="169"/>
      <c r="K56" s="124"/>
      <c r="L56" s="124"/>
      <c r="M56" s="124"/>
      <c r="P56" s="124"/>
      <c r="R56" s="124"/>
      <c r="V56" s="124"/>
    </row>
    <row r="57" spans="2:35" x14ac:dyDescent="0.25">
      <c r="I57" s="168"/>
      <c r="J57" s="169"/>
      <c r="K57" s="124"/>
      <c r="L57" s="124"/>
      <c r="M57" s="124"/>
      <c r="P57" s="124"/>
      <c r="R57" s="124"/>
      <c r="V57" s="124"/>
    </row>
    <row r="58" spans="2:35" x14ac:dyDescent="0.25">
      <c r="I58" s="168"/>
      <c r="J58" s="169"/>
      <c r="K58" s="124"/>
      <c r="L58" s="124"/>
      <c r="M58" s="124"/>
      <c r="P58" s="124"/>
      <c r="R58" s="124"/>
      <c r="V58" s="124"/>
    </row>
    <row r="59" spans="2:35" x14ac:dyDescent="0.25">
      <c r="I59" s="168"/>
      <c r="J59" s="169"/>
      <c r="K59" s="124"/>
      <c r="L59" s="124"/>
      <c r="M59" s="124"/>
      <c r="P59" s="124"/>
      <c r="R59" s="124"/>
      <c r="V59" s="124"/>
    </row>
    <row r="60" spans="2:35" x14ac:dyDescent="0.25">
      <c r="C60" s="85">
        <v>1</v>
      </c>
      <c r="D60" s="85">
        <v>2</v>
      </c>
      <c r="E60" s="85">
        <v>3</v>
      </c>
      <c r="F60" s="85">
        <v>4</v>
      </c>
      <c r="G60" s="85">
        <v>5</v>
      </c>
      <c r="H60" s="85">
        <v>6</v>
      </c>
      <c r="J60" s="168"/>
      <c r="K60" s="124"/>
      <c r="L60" s="124"/>
      <c r="M60" s="124"/>
      <c r="P60" s="124"/>
      <c r="R60" s="124"/>
      <c r="V60" s="124"/>
    </row>
    <row r="61" spans="2:35" ht="17.25" thickBot="1" x14ac:dyDescent="0.3">
      <c r="C61" s="85" t="s">
        <v>30</v>
      </c>
      <c r="D61" s="85" t="s">
        <v>30</v>
      </c>
      <c r="E61" s="85" t="s">
        <v>30</v>
      </c>
      <c r="F61" s="85" t="s">
        <v>30</v>
      </c>
      <c r="G61" s="85" t="s">
        <v>30</v>
      </c>
      <c r="H61" s="85" t="s">
        <v>30</v>
      </c>
      <c r="J61" s="168"/>
      <c r="K61" s="170"/>
      <c r="L61" s="170"/>
      <c r="M61" s="170"/>
      <c r="P61" s="170"/>
      <c r="R61" s="124"/>
      <c r="V61" s="170"/>
    </row>
    <row r="62" spans="2:35" ht="17.25" thickTop="1" x14ac:dyDescent="0.25">
      <c r="B62" s="156" t="s">
        <v>201</v>
      </c>
      <c r="C62" s="191"/>
      <c r="D62" s="192"/>
      <c r="E62" s="192"/>
      <c r="F62" s="192"/>
      <c r="G62" s="192"/>
      <c r="H62" s="193"/>
      <c r="J62" s="168"/>
      <c r="K62" s="170"/>
      <c r="L62" s="170"/>
      <c r="M62" s="170"/>
      <c r="P62" s="170"/>
      <c r="R62" s="124"/>
      <c r="U62" s="170"/>
      <c r="V62" s="170"/>
    </row>
    <row r="63" spans="2:35" x14ac:dyDescent="0.25">
      <c r="B63" s="156" t="s">
        <v>202</v>
      </c>
      <c r="C63" s="194"/>
      <c r="D63" s="195"/>
      <c r="E63" s="195"/>
      <c r="F63" s="195"/>
      <c r="G63" s="195"/>
      <c r="H63" s="196"/>
      <c r="J63" s="113"/>
      <c r="K63" s="170"/>
      <c r="L63" s="170"/>
      <c r="M63" s="170"/>
      <c r="P63" s="170"/>
      <c r="R63" s="124"/>
      <c r="U63" s="170"/>
      <c r="V63" s="170"/>
    </row>
    <row r="64" spans="2:35" ht="17.25" thickBot="1" x14ac:dyDescent="0.3">
      <c r="B64" s="156" t="s">
        <v>203</v>
      </c>
      <c r="C64" s="197"/>
      <c r="D64" s="198"/>
      <c r="E64" s="198"/>
      <c r="F64" s="198"/>
      <c r="G64" s="198"/>
      <c r="H64" s="199"/>
      <c r="J64" s="113"/>
      <c r="K64" s="170"/>
      <c r="L64" s="170"/>
      <c r="M64" s="170"/>
      <c r="P64" s="170"/>
      <c r="Q64" s="170"/>
      <c r="R64" s="124"/>
      <c r="S64" s="170"/>
      <c r="T64" s="170"/>
      <c r="U64" s="170"/>
      <c r="V64" s="170"/>
    </row>
    <row r="65" spans="1:47" ht="17.25" thickTop="1" x14ac:dyDescent="0.25">
      <c r="C65" s="85" t="s">
        <v>233</v>
      </c>
      <c r="D65" s="85" t="s">
        <v>233</v>
      </c>
      <c r="E65" s="85"/>
      <c r="F65" s="85"/>
      <c r="G65" s="85"/>
      <c r="H65" s="82" t="s">
        <v>233</v>
      </c>
      <c r="I65" s="85" t="s">
        <v>277</v>
      </c>
      <c r="J65" s="82" t="s">
        <v>278</v>
      </c>
      <c r="K65" s="170"/>
      <c r="L65" s="170"/>
      <c r="M65" s="170"/>
      <c r="P65" s="170"/>
      <c r="Q65" s="170"/>
      <c r="R65" s="124"/>
      <c r="S65" s="170"/>
      <c r="T65" s="170"/>
      <c r="U65" s="170"/>
      <c r="V65" s="170"/>
    </row>
    <row r="66" spans="1:47" s="87" customFormat="1" x14ac:dyDescent="0.25">
      <c r="A66" s="77"/>
      <c r="B66" s="156" t="s">
        <v>201</v>
      </c>
      <c r="C66" s="200" t="e">
        <f>C62/SUM(C$62:C$64)</f>
        <v>#DIV/0!</v>
      </c>
      <c r="D66" s="200" t="e">
        <f t="shared" ref="D66" si="16">D62/SUM(D$62:D$64)</f>
        <v>#DIV/0!</v>
      </c>
      <c r="E66" s="200" t="e">
        <f>E62/SUM(E$62:E$64)</f>
        <v>#DIV/0!</v>
      </c>
      <c r="F66" s="200" t="e">
        <f t="shared" ref="F66:H66" si="17">F62/SUM(F$62:F$64)</f>
        <v>#DIV/0!</v>
      </c>
      <c r="G66" s="200" t="e">
        <f t="shared" si="17"/>
        <v>#DIV/0!</v>
      </c>
      <c r="H66" s="200" t="e">
        <f t="shared" si="17"/>
        <v>#DIV/0!</v>
      </c>
      <c r="I66" s="85" t="e">
        <f>STDEV(C66:H66)/AVERAGE(C66:H66)</f>
        <v>#DIV/0!</v>
      </c>
      <c r="J66" s="82" t="s">
        <v>300</v>
      </c>
      <c r="K66" s="170"/>
      <c r="L66" s="170"/>
      <c r="M66" s="170"/>
      <c r="P66" s="170"/>
      <c r="Q66" s="170"/>
      <c r="R66" s="124"/>
      <c r="S66" s="170"/>
      <c r="T66" s="170"/>
      <c r="U66" s="170"/>
      <c r="V66" s="170"/>
      <c r="AJ66" s="77"/>
      <c r="AK66" s="77"/>
      <c r="AL66" s="77"/>
      <c r="AM66" s="77"/>
      <c r="AN66" s="77"/>
      <c r="AO66" s="77"/>
      <c r="AP66" s="77"/>
      <c r="AQ66" s="77"/>
      <c r="AR66" s="77"/>
      <c r="AS66" s="77"/>
      <c r="AT66" s="77"/>
      <c r="AU66" s="77"/>
    </row>
    <row r="67" spans="1:47" s="87" customFormat="1" x14ac:dyDescent="0.25">
      <c r="A67" s="77"/>
      <c r="B67" s="156" t="s">
        <v>202</v>
      </c>
      <c r="C67" s="200" t="e">
        <f>C63/SUM(C$62:C$64)</f>
        <v>#DIV/0!</v>
      </c>
      <c r="D67" s="200" t="e">
        <f t="shared" ref="C67:H68" si="18">D63/SUM(D$62:D$64)</f>
        <v>#DIV/0!</v>
      </c>
      <c r="E67" s="200" t="e">
        <f>E63/SUM(E$62:E$64)</f>
        <v>#DIV/0!</v>
      </c>
      <c r="F67" s="200" t="e">
        <f t="shared" ref="F67:H67" si="19">F63/SUM(F$62:F$64)</f>
        <v>#DIV/0!</v>
      </c>
      <c r="G67" s="200" t="e">
        <f t="shared" si="19"/>
        <v>#DIV/0!</v>
      </c>
      <c r="H67" s="200" t="e">
        <f t="shared" si="19"/>
        <v>#DIV/0!</v>
      </c>
      <c r="I67" s="93" t="e">
        <f>STDEV(C67:H67)/AVERAGE(C67:H67)</f>
        <v>#DIV/0!</v>
      </c>
      <c r="J67" s="82" t="s">
        <v>297</v>
      </c>
      <c r="K67" s="170"/>
      <c r="L67" s="170"/>
      <c r="M67" s="170"/>
      <c r="P67" s="170"/>
      <c r="Q67" s="170"/>
      <c r="R67" s="170"/>
      <c r="S67" s="170"/>
      <c r="T67" s="170"/>
      <c r="U67" s="170"/>
      <c r="V67" s="170"/>
      <c r="AJ67" s="77"/>
      <c r="AK67" s="77"/>
      <c r="AL67" s="77"/>
      <c r="AM67" s="77"/>
      <c r="AN67" s="77"/>
      <c r="AO67" s="77"/>
      <c r="AP67" s="77"/>
      <c r="AQ67" s="77"/>
      <c r="AR67" s="77"/>
      <c r="AS67" s="77"/>
      <c r="AT67" s="77"/>
      <c r="AU67" s="77"/>
    </row>
    <row r="68" spans="1:47" s="87" customFormat="1" x14ac:dyDescent="0.25">
      <c r="A68" s="77"/>
      <c r="B68" s="156" t="s">
        <v>203</v>
      </c>
      <c r="C68" s="200" t="e">
        <f t="shared" si="18"/>
        <v>#DIV/0!</v>
      </c>
      <c r="D68" s="200" t="e">
        <f t="shared" si="18"/>
        <v>#DIV/0!</v>
      </c>
      <c r="E68" s="200" t="e">
        <f t="shared" si="18"/>
        <v>#DIV/0!</v>
      </c>
      <c r="F68" s="200" t="e">
        <f t="shared" si="18"/>
        <v>#DIV/0!</v>
      </c>
      <c r="G68" s="200" t="e">
        <f t="shared" si="18"/>
        <v>#DIV/0!</v>
      </c>
      <c r="H68" s="200" t="e">
        <f t="shared" si="18"/>
        <v>#DIV/0!</v>
      </c>
      <c r="I68" s="93" t="e">
        <f>STDEV(C68:H68)/AVERAGE(C68:H68)</f>
        <v>#DIV/0!</v>
      </c>
      <c r="J68" s="82" t="s">
        <v>297</v>
      </c>
      <c r="K68" s="170"/>
      <c r="L68" s="170"/>
      <c r="M68" s="170"/>
      <c r="P68" s="170"/>
      <c r="Q68" s="170"/>
      <c r="R68" s="170"/>
      <c r="S68" s="170"/>
      <c r="T68" s="170"/>
      <c r="U68" s="170"/>
      <c r="V68" s="170"/>
      <c r="AJ68" s="77"/>
      <c r="AK68" s="77"/>
      <c r="AL68" s="77"/>
      <c r="AM68" s="77"/>
      <c r="AN68" s="77"/>
      <c r="AO68" s="77"/>
      <c r="AP68" s="77"/>
      <c r="AQ68" s="77"/>
      <c r="AR68" s="77"/>
      <c r="AS68" s="77"/>
      <c r="AT68" s="77"/>
      <c r="AU68" s="77"/>
    </row>
    <row r="69" spans="1:47" s="87" customFormat="1" x14ac:dyDescent="0.25">
      <c r="E69" s="113"/>
      <c r="G69" s="113"/>
      <c r="H69" s="90"/>
      <c r="I69" s="170"/>
      <c r="J69" s="170"/>
      <c r="K69" s="170"/>
      <c r="L69" s="170"/>
      <c r="M69" s="170"/>
      <c r="P69" s="170"/>
      <c r="Q69" s="170"/>
      <c r="R69" s="170"/>
      <c r="S69" s="170"/>
      <c r="T69" s="170"/>
      <c r="U69" s="170"/>
      <c r="V69" s="170"/>
      <c r="AJ69" s="77"/>
      <c r="AK69" s="77"/>
      <c r="AL69" s="77"/>
      <c r="AM69" s="77"/>
      <c r="AN69" s="77"/>
      <c r="AO69" s="77"/>
      <c r="AP69" s="77"/>
      <c r="AQ69" s="77"/>
      <c r="AR69" s="77"/>
      <c r="AS69" s="77"/>
      <c r="AT69" s="77"/>
      <c r="AU69" s="77"/>
    </row>
    <row r="70" spans="1:47" s="87" customFormat="1" x14ac:dyDescent="0.25">
      <c r="E70" s="113"/>
      <c r="G70" s="113"/>
      <c r="H70" s="90"/>
      <c r="I70" s="170"/>
      <c r="J70" s="170"/>
      <c r="K70" s="170"/>
      <c r="L70" s="170"/>
      <c r="M70" s="170"/>
      <c r="P70" s="170"/>
      <c r="Q70" s="170"/>
      <c r="R70" s="170"/>
      <c r="S70" s="170"/>
      <c r="T70" s="170"/>
      <c r="U70" s="170"/>
      <c r="V70" s="170"/>
      <c r="AJ70" s="77"/>
      <c r="AK70" s="77"/>
      <c r="AL70" s="77"/>
      <c r="AM70" s="77"/>
      <c r="AN70" s="77"/>
      <c r="AO70" s="77"/>
      <c r="AP70" s="77"/>
      <c r="AQ70" s="77"/>
      <c r="AR70" s="77"/>
      <c r="AS70" s="77"/>
      <c r="AT70" s="77"/>
      <c r="AU70" s="77"/>
    </row>
    <row r="71" spans="1:47" s="87" customFormat="1" x14ac:dyDescent="0.25">
      <c r="E71" s="202" t="s">
        <v>204</v>
      </c>
      <c r="F71" s="203" t="s">
        <v>162</v>
      </c>
      <c r="G71" s="203" t="s">
        <v>163</v>
      </c>
      <c r="H71" s="90"/>
      <c r="I71" s="170"/>
      <c r="J71" s="170"/>
      <c r="K71" s="170"/>
      <c r="L71" s="170"/>
      <c r="M71" s="170"/>
      <c r="P71" s="170"/>
      <c r="Q71" s="170"/>
      <c r="R71" s="170"/>
      <c r="S71" s="170"/>
      <c r="T71" s="170"/>
      <c r="U71" s="170"/>
      <c r="V71" s="170"/>
      <c r="AJ71" s="77"/>
      <c r="AK71" s="77"/>
      <c r="AL71" s="77"/>
      <c r="AM71" s="77"/>
      <c r="AN71" s="77"/>
      <c r="AO71" s="77"/>
      <c r="AP71" s="77"/>
      <c r="AQ71" s="77"/>
      <c r="AR71" s="77"/>
      <c r="AS71" s="77"/>
      <c r="AT71" s="77"/>
      <c r="AU71" s="77"/>
    </row>
    <row r="72" spans="1:47" s="87" customFormat="1" x14ac:dyDescent="0.25">
      <c r="E72" s="156" t="s">
        <v>201</v>
      </c>
      <c r="F72" s="93" t="str">
        <f>IFERROR(AVERAGE(C66:H66),"")</f>
        <v/>
      </c>
      <c r="G72" s="158" t="e">
        <f>((C$25/C$42)*L6)+((C$27/C$42)*L8)+((C$28/C$42)*L9)</f>
        <v>#DIV/0!</v>
      </c>
      <c r="H72" s="90"/>
      <c r="AJ72" s="77"/>
      <c r="AK72" s="77"/>
      <c r="AL72" s="77"/>
      <c r="AM72" s="77"/>
      <c r="AN72" s="77"/>
      <c r="AO72" s="77"/>
      <c r="AP72" s="77"/>
      <c r="AQ72" s="77"/>
      <c r="AR72" s="77"/>
      <c r="AS72" s="77"/>
      <c r="AT72" s="77"/>
      <c r="AU72" s="77"/>
    </row>
    <row r="73" spans="1:47" s="87" customFormat="1" x14ac:dyDescent="0.25">
      <c r="E73" s="156" t="s">
        <v>202</v>
      </c>
      <c r="F73" s="93" t="str">
        <f>IFERROR(AVERAGE(C67:H67),"")</f>
        <v/>
      </c>
      <c r="G73" s="158" t="e">
        <f>((C$25/C$42)*(K6-L6))+((C$27/C$42)*(K8-L8))+((C$28/C$42)*(K9-L9))</f>
        <v>#DIV/0!</v>
      </c>
      <c r="H73" s="90"/>
      <c r="N73" s="172"/>
      <c r="O73" s="172"/>
      <c r="AJ73" s="77"/>
      <c r="AK73" s="77"/>
      <c r="AL73" s="77"/>
      <c r="AM73" s="77"/>
      <c r="AN73" s="77"/>
      <c r="AO73" s="77"/>
      <c r="AP73" s="77"/>
      <c r="AQ73" s="77"/>
      <c r="AR73" s="77"/>
      <c r="AS73" s="77"/>
      <c r="AT73" s="77"/>
      <c r="AU73" s="77"/>
    </row>
    <row r="74" spans="1:47" s="87" customFormat="1" x14ac:dyDescent="0.25">
      <c r="A74" s="93"/>
      <c r="B74" s="111"/>
      <c r="E74" s="156" t="s">
        <v>203</v>
      </c>
      <c r="F74" s="93" t="str">
        <f>IFERROR(AVERAGE(C68:H68),"")</f>
        <v/>
      </c>
      <c r="G74" s="204" t="e">
        <f>1-G72-G73</f>
        <v>#DIV/0!</v>
      </c>
      <c r="H74" s="90"/>
      <c r="AJ74" s="77"/>
      <c r="AK74" s="77"/>
      <c r="AL74" s="77"/>
      <c r="AM74" s="77"/>
      <c r="AN74" s="77"/>
      <c r="AO74" s="77"/>
      <c r="AP74" s="77"/>
      <c r="AQ74" s="77"/>
      <c r="AR74" s="77"/>
      <c r="AS74" s="77"/>
      <c r="AT74" s="77"/>
      <c r="AU74" s="77"/>
    </row>
    <row r="75" spans="1:47" s="87" customFormat="1" x14ac:dyDescent="0.25">
      <c r="A75" s="93"/>
      <c r="B75" s="111"/>
      <c r="E75" s="113"/>
      <c r="G75" s="113"/>
      <c r="H75" s="90"/>
      <c r="AJ75" s="77"/>
      <c r="AK75" s="77"/>
      <c r="AL75" s="77"/>
      <c r="AM75" s="77"/>
      <c r="AN75" s="77"/>
      <c r="AO75" s="77"/>
      <c r="AP75" s="77"/>
      <c r="AQ75" s="77"/>
      <c r="AR75" s="77"/>
      <c r="AS75" s="77"/>
      <c r="AT75" s="77"/>
      <c r="AU75" s="77"/>
    </row>
    <row r="76" spans="1:47" s="87" customFormat="1" x14ac:dyDescent="0.25">
      <c r="A76" s="93"/>
      <c r="B76" s="111"/>
      <c r="E76" s="113"/>
      <c r="G76" s="113"/>
      <c r="H76" s="90"/>
      <c r="AJ76" s="77"/>
      <c r="AK76" s="77"/>
      <c r="AL76" s="77"/>
      <c r="AM76" s="77"/>
      <c r="AN76" s="77"/>
      <c r="AO76" s="77"/>
      <c r="AP76" s="77"/>
      <c r="AQ76" s="77"/>
      <c r="AR76" s="77"/>
      <c r="AS76" s="77"/>
      <c r="AT76" s="77"/>
      <c r="AU76" s="77"/>
    </row>
    <row r="77" spans="1:47" s="87" customFormat="1" x14ac:dyDescent="0.25">
      <c r="A77" s="93"/>
      <c r="B77" s="111"/>
      <c r="E77" s="113"/>
      <c r="G77" s="113"/>
      <c r="H77" s="90"/>
      <c r="AJ77" s="77"/>
      <c r="AK77" s="77"/>
      <c r="AL77" s="77"/>
      <c r="AM77" s="77"/>
      <c r="AN77" s="77"/>
      <c r="AO77" s="77"/>
      <c r="AP77" s="77"/>
      <c r="AQ77" s="77"/>
      <c r="AR77" s="77"/>
      <c r="AS77" s="77"/>
      <c r="AT77" s="77"/>
      <c r="AU77" s="77"/>
    </row>
    <row r="78" spans="1:47" s="87" customFormat="1" x14ac:dyDescent="0.25">
      <c r="A78" s="93"/>
      <c r="B78" s="111"/>
      <c r="E78" s="113"/>
      <c r="G78" s="113"/>
      <c r="H78" s="90"/>
      <c r="AJ78" s="77"/>
      <c r="AK78" s="77"/>
      <c r="AL78" s="77"/>
      <c r="AM78" s="77"/>
      <c r="AN78" s="77"/>
      <c r="AO78" s="77"/>
      <c r="AP78" s="77"/>
      <c r="AQ78" s="77"/>
      <c r="AR78" s="77"/>
      <c r="AS78" s="77"/>
      <c r="AT78" s="77"/>
      <c r="AU78" s="77"/>
    </row>
    <row r="79" spans="1:47" s="87" customFormat="1" x14ac:dyDescent="0.25">
      <c r="A79" s="96"/>
      <c r="B79" s="112"/>
      <c r="E79" s="113"/>
      <c r="G79" s="113"/>
      <c r="H79" s="90"/>
      <c r="AJ79" s="77"/>
      <c r="AK79" s="77"/>
      <c r="AL79" s="77"/>
      <c r="AM79" s="77"/>
      <c r="AN79" s="77"/>
      <c r="AO79" s="77"/>
      <c r="AP79" s="77"/>
      <c r="AQ79" s="77"/>
      <c r="AR79" s="77"/>
      <c r="AS79" s="77"/>
      <c r="AT79" s="77"/>
      <c r="AU79" s="77"/>
    </row>
    <row r="80" spans="1:47" s="87" customFormat="1" x14ac:dyDescent="0.25">
      <c r="A80" s="96"/>
      <c r="B80" s="112"/>
      <c r="E80" s="113"/>
      <c r="G80" s="113"/>
      <c r="H80" s="90"/>
      <c r="AJ80" s="77"/>
      <c r="AK80" s="77"/>
      <c r="AL80" s="77"/>
      <c r="AM80" s="77"/>
      <c r="AN80" s="77"/>
      <c r="AO80" s="77"/>
      <c r="AP80" s="77"/>
      <c r="AQ80" s="77"/>
      <c r="AR80" s="77"/>
      <c r="AS80" s="77"/>
      <c r="AT80" s="77"/>
      <c r="AU80" s="77"/>
    </row>
    <row r="81" spans="1:47" s="87" customFormat="1" x14ac:dyDescent="0.25">
      <c r="A81" s="96"/>
      <c r="B81" s="112"/>
      <c r="E81" s="113"/>
      <c r="G81" s="113"/>
      <c r="H81" s="90"/>
      <c r="AJ81" s="77"/>
      <c r="AK81" s="77"/>
      <c r="AL81" s="77"/>
      <c r="AM81" s="77"/>
      <c r="AN81" s="77"/>
      <c r="AO81" s="77"/>
      <c r="AP81" s="77"/>
      <c r="AQ81" s="77"/>
      <c r="AR81" s="77"/>
      <c r="AS81" s="77"/>
      <c r="AT81" s="77"/>
      <c r="AU81" s="77"/>
    </row>
    <row r="82" spans="1:47" s="87" customFormat="1" x14ac:dyDescent="0.25">
      <c r="A82" s="96"/>
      <c r="B82" s="112"/>
      <c r="E82" s="113"/>
      <c r="G82" s="113"/>
      <c r="H82" s="90"/>
      <c r="AJ82" s="77"/>
      <c r="AK82" s="77"/>
      <c r="AL82" s="77"/>
      <c r="AM82" s="77"/>
      <c r="AN82" s="77"/>
      <c r="AO82" s="77"/>
      <c r="AP82" s="77"/>
      <c r="AQ82" s="77"/>
      <c r="AR82" s="77"/>
      <c r="AS82" s="77"/>
      <c r="AT82" s="77"/>
      <c r="AU82" s="77"/>
    </row>
    <row r="83" spans="1:47" s="87" customFormat="1" x14ac:dyDescent="0.25">
      <c r="A83" s="97"/>
      <c r="B83" s="90"/>
      <c r="E83" s="113"/>
      <c r="G83" s="113"/>
      <c r="H83" s="90"/>
      <c r="AJ83" s="77"/>
      <c r="AK83" s="77"/>
      <c r="AL83" s="77"/>
      <c r="AM83" s="77"/>
      <c r="AN83" s="77"/>
      <c r="AO83" s="77"/>
      <c r="AP83" s="77"/>
      <c r="AQ83" s="77"/>
      <c r="AR83" s="77"/>
      <c r="AS83" s="77"/>
      <c r="AT83" s="77"/>
      <c r="AU83" s="77"/>
    </row>
    <row r="84" spans="1:47" s="87" customFormat="1" x14ac:dyDescent="0.25">
      <c r="A84" s="97"/>
      <c r="B84" s="113"/>
      <c r="E84" s="113"/>
      <c r="G84" s="113"/>
      <c r="H84" s="90"/>
      <c r="AJ84" s="77"/>
      <c r="AK84" s="77"/>
      <c r="AL84" s="77"/>
      <c r="AM84" s="77"/>
      <c r="AN84" s="77"/>
      <c r="AO84" s="77"/>
      <c r="AP84" s="77"/>
      <c r="AQ84" s="77"/>
      <c r="AR84" s="77"/>
      <c r="AS84" s="77"/>
      <c r="AT84" s="77"/>
      <c r="AU84" s="77"/>
    </row>
    <row r="85" spans="1:47" s="87" customFormat="1" x14ac:dyDescent="0.25">
      <c r="A85" s="97"/>
      <c r="B85" s="90"/>
      <c r="E85" s="113"/>
      <c r="G85" s="113"/>
      <c r="H85" s="90"/>
      <c r="AJ85" s="77"/>
      <c r="AK85" s="77"/>
      <c r="AL85" s="77"/>
      <c r="AM85" s="77"/>
      <c r="AN85" s="77"/>
      <c r="AO85" s="77"/>
      <c r="AP85" s="77"/>
      <c r="AQ85" s="77"/>
      <c r="AR85" s="77"/>
      <c r="AS85" s="77"/>
      <c r="AT85" s="77"/>
      <c r="AU85" s="77"/>
    </row>
    <row r="86" spans="1:47" s="87" customFormat="1" x14ac:dyDescent="0.25">
      <c r="A86" s="97"/>
      <c r="B86" s="90"/>
      <c r="E86" s="113"/>
      <c r="G86" s="113"/>
      <c r="H86" s="90"/>
      <c r="AJ86" s="77"/>
      <c r="AK86" s="77"/>
      <c r="AL86" s="77"/>
      <c r="AM86" s="77"/>
      <c r="AN86" s="77"/>
      <c r="AO86" s="77"/>
      <c r="AP86" s="77"/>
      <c r="AQ86" s="77"/>
      <c r="AR86" s="77"/>
      <c r="AS86" s="77"/>
      <c r="AT86" s="77"/>
      <c r="AU86" s="77"/>
    </row>
    <row r="87" spans="1:47" s="87" customFormat="1" x14ac:dyDescent="0.25">
      <c r="A87" s="97"/>
      <c r="B87" s="113"/>
      <c r="E87" s="113"/>
      <c r="G87" s="113"/>
      <c r="H87" s="90"/>
      <c r="AJ87" s="77"/>
      <c r="AK87" s="77"/>
      <c r="AL87" s="77"/>
      <c r="AM87" s="77"/>
      <c r="AN87" s="77"/>
      <c r="AO87" s="77"/>
      <c r="AP87" s="77"/>
      <c r="AQ87" s="77"/>
      <c r="AR87" s="77"/>
      <c r="AS87" s="77"/>
      <c r="AT87" s="77"/>
      <c r="AU87" s="77"/>
    </row>
  </sheetData>
  <sheetProtection sheet="1" objects="1" scenarios="1"/>
  <mergeCells count="1">
    <mergeCell ref="A1:A2"/>
  </mergeCells>
  <dataValidations count="1">
    <dataValidation type="list" allowBlank="1" showInputMessage="1" showErrorMessage="1" sqref="A6:A21" xr:uid="{00000000-0002-0000-0200-000000000000}">
      <formula1>alimentos</formula1>
    </dataValidation>
  </dataValidations>
  <pageMargins left="0.78740157499999996" right="0.78740157499999996" top="0.984251969" bottom="0.984251969" header="0.49212598499999999" footer="0.49212598499999999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3"/>
  <dimension ref="A1:AV87"/>
  <sheetViews>
    <sheetView zoomScale="80" zoomScaleNormal="80" workbookViewId="0">
      <pane xSplit="1" ySplit="5" topLeftCell="B30" activePane="bottomRight" state="frozen"/>
      <selection pane="topRight" activeCell="B1" sqref="B1"/>
      <selection pane="bottomLeft" activeCell="A6" sqref="A6"/>
      <selection pane="bottomRight" activeCell="M49" sqref="M49"/>
    </sheetView>
  </sheetViews>
  <sheetFormatPr defaultRowHeight="16.5" x14ac:dyDescent="0.25"/>
  <cols>
    <col min="1" max="1" width="34.85546875" style="77" bestFit="1" customWidth="1"/>
    <col min="2" max="4" width="13.28515625" style="87" customWidth="1"/>
    <col min="5" max="5" width="13.28515625" style="113" customWidth="1"/>
    <col min="6" max="6" width="13.28515625" style="87" customWidth="1"/>
    <col min="7" max="7" width="13.28515625" style="113" customWidth="1"/>
    <col min="8" max="8" width="13.28515625" style="90" customWidth="1"/>
    <col min="9" max="24" width="13.28515625" style="87" customWidth="1"/>
    <col min="25" max="25" width="16" style="87" bestFit="1" customWidth="1"/>
    <col min="26" max="26" width="12.42578125" style="87" bestFit="1" customWidth="1"/>
    <col min="27" max="27" width="13.85546875" style="87" bestFit="1" customWidth="1"/>
    <col min="28" max="28" width="13.28515625" style="87" customWidth="1"/>
    <col min="29" max="29" width="13.85546875" style="87" bestFit="1" customWidth="1"/>
    <col min="30" max="35" width="13.28515625" style="87" customWidth="1"/>
    <col min="36" max="38" width="13.28515625" style="77" customWidth="1"/>
    <col min="39" max="40" width="13.5703125" style="77" bestFit="1" customWidth="1"/>
    <col min="41" max="42" width="13.28515625" style="77" customWidth="1"/>
    <col min="43" max="43" width="15.28515625" style="77" bestFit="1" customWidth="1"/>
    <col min="44" max="44" width="13.28515625" style="77" customWidth="1"/>
    <col min="45" max="45" width="17" style="77" bestFit="1" customWidth="1"/>
    <col min="46" max="46" width="9.140625" style="77" hidden="1" customWidth="1"/>
    <col min="47" max="47" width="10.42578125" style="77" hidden="1" customWidth="1"/>
    <col min="48" max="48" width="0" style="77" hidden="1" customWidth="1"/>
    <col min="49" max="16384" width="9.140625" style="77"/>
  </cols>
  <sheetData>
    <row r="1" spans="1:47" s="72" customFormat="1" ht="18.75" customHeight="1" thickTop="1" thickBot="1" x14ac:dyDescent="0.3">
      <c r="A1" s="245" t="s">
        <v>178</v>
      </c>
      <c r="C1" s="73" t="s">
        <v>0</v>
      </c>
      <c r="D1" s="205"/>
      <c r="E1" s="73"/>
      <c r="F1" s="77"/>
      <c r="G1" s="75" t="s">
        <v>179</v>
      </c>
      <c r="H1" s="208"/>
      <c r="I1" s="77"/>
      <c r="J1" s="77"/>
      <c r="K1" s="75" t="s">
        <v>184</v>
      </c>
      <c r="L1" s="76">
        <f>SUM(B25:B40)</f>
        <v>0</v>
      </c>
      <c r="M1" s="77"/>
      <c r="N1" s="77"/>
      <c r="O1" s="77"/>
      <c r="P1" s="77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1"/>
      <c r="AU1" s="81"/>
    </row>
    <row r="2" spans="1:47" s="72" customFormat="1" ht="17.25" customHeight="1" thickTop="1" thickBot="1" x14ac:dyDescent="0.3">
      <c r="A2" s="246"/>
      <c r="C2" s="166" t="s">
        <v>181</v>
      </c>
      <c r="D2" s="206"/>
      <c r="E2" s="75"/>
      <c r="F2" s="77"/>
      <c r="J2" s="77"/>
      <c r="K2" s="75" t="s">
        <v>186</v>
      </c>
      <c r="L2" s="76" t="e">
        <f>SUM(B25:B40)/E43</f>
        <v>#DIV/0!</v>
      </c>
      <c r="M2" s="77"/>
      <c r="N2" s="77"/>
      <c r="O2" s="77"/>
      <c r="P2" s="7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77"/>
      <c r="AK2" s="77"/>
      <c r="AL2" s="77"/>
      <c r="AM2" s="77"/>
      <c r="AN2" s="77"/>
      <c r="AO2" s="77"/>
      <c r="AP2" s="77"/>
      <c r="AQ2" s="77"/>
      <c r="AR2" s="77"/>
      <c r="AS2" s="77"/>
    </row>
    <row r="3" spans="1:47" s="72" customFormat="1" ht="17.25" thickTop="1" x14ac:dyDescent="0.25">
      <c r="A3" s="88"/>
      <c r="B3" s="89"/>
      <c r="C3" s="85"/>
      <c r="D3" s="75"/>
      <c r="E3" s="77"/>
      <c r="F3" s="77"/>
      <c r="H3" s="75"/>
      <c r="I3" s="77"/>
      <c r="J3" s="77"/>
      <c r="K3" s="7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77"/>
      <c r="AK3" s="77"/>
      <c r="AL3" s="77"/>
      <c r="AM3" s="77"/>
      <c r="AN3" s="77"/>
      <c r="AO3" s="77"/>
      <c r="AP3" s="77"/>
      <c r="AQ3" s="77"/>
      <c r="AR3" s="77"/>
      <c r="AS3" s="77"/>
    </row>
    <row r="4" spans="1:47" s="98" customFormat="1" x14ac:dyDescent="0.25">
      <c r="A4" s="92" t="s">
        <v>1</v>
      </c>
      <c r="B4" s="85" t="s">
        <v>108</v>
      </c>
      <c r="C4" s="85"/>
      <c r="D4" s="85"/>
      <c r="E4" s="93" t="s">
        <v>2</v>
      </c>
      <c r="F4" s="93" t="s">
        <v>3</v>
      </c>
      <c r="G4" s="93" t="s">
        <v>3</v>
      </c>
      <c r="H4" s="93" t="s">
        <v>3</v>
      </c>
      <c r="I4" s="93" t="s">
        <v>3</v>
      </c>
      <c r="J4" s="94" t="s">
        <v>3</v>
      </c>
      <c r="K4" s="94" t="s">
        <v>109</v>
      </c>
      <c r="L4" s="94" t="s">
        <v>109</v>
      </c>
      <c r="M4" s="93" t="s">
        <v>3</v>
      </c>
      <c r="N4" s="93" t="s">
        <v>3</v>
      </c>
      <c r="O4" s="95" t="s">
        <v>4</v>
      </c>
      <c r="P4" s="93" t="s">
        <v>3</v>
      </c>
      <c r="Q4" s="93" t="s">
        <v>3</v>
      </c>
      <c r="R4" s="94" t="s">
        <v>3</v>
      </c>
      <c r="S4" s="93" t="s">
        <v>3</v>
      </c>
      <c r="T4" s="93" t="s">
        <v>3</v>
      </c>
      <c r="U4" s="94" t="s">
        <v>3</v>
      </c>
      <c r="V4" s="94" t="s">
        <v>100</v>
      </c>
      <c r="W4" s="96" t="s">
        <v>3</v>
      </c>
      <c r="X4" s="96" t="s">
        <v>3</v>
      </c>
      <c r="Y4" s="96" t="s">
        <v>3</v>
      </c>
      <c r="Z4" s="96" t="s">
        <v>3</v>
      </c>
      <c r="AA4" s="96" t="s">
        <v>3</v>
      </c>
      <c r="AB4" s="96" t="s">
        <v>3</v>
      </c>
      <c r="AC4" s="96" t="s">
        <v>3</v>
      </c>
      <c r="AD4" s="96" t="s">
        <v>3</v>
      </c>
      <c r="AE4" s="96" t="s">
        <v>3</v>
      </c>
      <c r="AF4" s="97" t="s">
        <v>34</v>
      </c>
      <c r="AG4" s="97" t="s">
        <v>34</v>
      </c>
      <c r="AH4" s="97" t="s">
        <v>34</v>
      </c>
      <c r="AI4" s="97" t="s">
        <v>34</v>
      </c>
      <c r="AJ4" s="97" t="s">
        <v>34</v>
      </c>
      <c r="AK4" s="97" t="s">
        <v>34</v>
      </c>
      <c r="AL4" s="97" t="s">
        <v>34</v>
      </c>
      <c r="AM4" s="97" t="s">
        <v>36</v>
      </c>
      <c r="AN4" s="97" t="s">
        <v>36</v>
      </c>
      <c r="AO4" s="97" t="s">
        <v>36</v>
      </c>
      <c r="AP4" s="97" t="s">
        <v>34</v>
      </c>
      <c r="AQ4" s="97" t="s">
        <v>34</v>
      </c>
      <c r="AR4" s="97" t="s">
        <v>34</v>
      </c>
      <c r="AS4" s="97" t="s">
        <v>172</v>
      </c>
    </row>
    <row r="5" spans="1:47" s="98" customFormat="1" ht="17.25" thickBot="1" x14ac:dyDescent="0.3">
      <c r="A5" s="99" t="s">
        <v>5</v>
      </c>
      <c r="B5" s="85" t="s">
        <v>6</v>
      </c>
      <c r="C5" s="85"/>
      <c r="D5" s="85"/>
      <c r="E5" s="93" t="s">
        <v>7</v>
      </c>
      <c r="F5" s="93" t="s">
        <v>8</v>
      </c>
      <c r="G5" s="93" t="s">
        <v>9</v>
      </c>
      <c r="H5" s="93" t="s">
        <v>67</v>
      </c>
      <c r="I5" s="93" t="s">
        <v>10</v>
      </c>
      <c r="J5" s="94" t="s">
        <v>11</v>
      </c>
      <c r="K5" s="94" t="s">
        <v>110</v>
      </c>
      <c r="L5" s="94" t="s">
        <v>111</v>
      </c>
      <c r="M5" s="93" t="s">
        <v>12</v>
      </c>
      <c r="N5" s="93" t="s">
        <v>13</v>
      </c>
      <c r="O5" s="95" t="s">
        <v>14</v>
      </c>
      <c r="P5" s="93" t="s">
        <v>15</v>
      </c>
      <c r="Q5" s="93" t="s">
        <v>16</v>
      </c>
      <c r="R5" s="94" t="s">
        <v>114</v>
      </c>
      <c r="S5" s="93" t="s">
        <v>17</v>
      </c>
      <c r="T5" s="93" t="s">
        <v>18</v>
      </c>
      <c r="U5" s="93" t="s">
        <v>99</v>
      </c>
      <c r="V5" s="94" t="s">
        <v>101</v>
      </c>
      <c r="W5" s="96" t="s">
        <v>19</v>
      </c>
      <c r="X5" s="96" t="s">
        <v>20</v>
      </c>
      <c r="Y5" s="96" t="s">
        <v>21</v>
      </c>
      <c r="Z5" s="96" t="s">
        <v>22</v>
      </c>
      <c r="AA5" s="96" t="s">
        <v>23</v>
      </c>
      <c r="AB5" s="96" t="s">
        <v>24</v>
      </c>
      <c r="AC5" s="96" t="s">
        <v>25</v>
      </c>
      <c r="AD5" s="96" t="s">
        <v>26</v>
      </c>
      <c r="AE5" s="96" t="s">
        <v>27</v>
      </c>
      <c r="AF5" s="97" t="s">
        <v>37</v>
      </c>
      <c r="AG5" s="100" t="s">
        <v>38</v>
      </c>
      <c r="AH5" s="100" t="s">
        <v>41</v>
      </c>
      <c r="AI5" s="100" t="s">
        <v>43</v>
      </c>
      <c r="AJ5" s="100" t="s">
        <v>42</v>
      </c>
      <c r="AK5" s="100" t="s">
        <v>40</v>
      </c>
      <c r="AL5" s="100" t="s">
        <v>39</v>
      </c>
      <c r="AM5" s="100" t="s">
        <v>44</v>
      </c>
      <c r="AN5" s="97" t="s">
        <v>45</v>
      </c>
      <c r="AO5" s="97" t="s">
        <v>46</v>
      </c>
      <c r="AP5" s="97" t="s">
        <v>47</v>
      </c>
      <c r="AQ5" s="97" t="s">
        <v>48</v>
      </c>
      <c r="AR5" s="97" t="s">
        <v>170</v>
      </c>
      <c r="AS5" s="97" t="s">
        <v>171</v>
      </c>
    </row>
    <row r="6" spans="1:47" ht="17.25" thickTop="1" x14ac:dyDescent="0.25">
      <c r="A6" s="101" t="s">
        <v>60</v>
      </c>
      <c r="B6" s="102">
        <f>VLOOKUP($A6,Alimentos!$A:$BA,2,FALSE)</f>
        <v>0</v>
      </c>
      <c r="C6" s="103">
        <f>VLOOKUP($A6,Alimentos!$A:$BA,4,FALSE)</f>
        <v>0</v>
      </c>
      <c r="D6" s="102"/>
      <c r="E6" s="104">
        <f>VLOOKUP($A6,Alimentos!$A:$BA,5,FALSE)</f>
        <v>0</v>
      </c>
      <c r="F6" s="104">
        <f>VLOOKUP($A6,Alimentos!$A:$BA,6,FALSE)</f>
        <v>0</v>
      </c>
      <c r="G6" s="104">
        <f>VLOOKUP($A6,Alimentos!$A:$BA,7,FALSE)</f>
        <v>0</v>
      </c>
      <c r="H6" s="104">
        <f>VLOOKUP($A6,Alimentos!$A:$BA,8,FALSE)</f>
        <v>0</v>
      </c>
      <c r="I6" s="104">
        <f>VLOOKUP($A6,Alimentos!$A:$BA,9,FALSE)</f>
        <v>0</v>
      </c>
      <c r="J6" s="104">
        <f>VLOOKUP($A6,Alimentos!$A:$BA,10,FALSE)</f>
        <v>0</v>
      </c>
      <c r="K6" s="104">
        <f>VLOOKUP($A6,Alimentos!$A:$BA,11,FALSE)</f>
        <v>0</v>
      </c>
      <c r="L6" s="104">
        <f>VLOOKUP($A6,Alimentos!$A:$BA,12,FALSE)</f>
        <v>0</v>
      </c>
      <c r="M6" s="104">
        <f>VLOOKUP($A6,Alimentos!$A:$BA,13,FALSE)</f>
        <v>0</v>
      </c>
      <c r="N6" s="104">
        <f>VLOOKUP($A6,Alimentos!$A:$BA,14,FALSE)</f>
        <v>0</v>
      </c>
      <c r="O6" s="105">
        <f>VLOOKUP($A6,Alimentos!$A:$BA,15,FALSE)</f>
        <v>0</v>
      </c>
      <c r="P6" s="104">
        <f>VLOOKUP($A6,Alimentos!$A:$BA,16,FALSE)</f>
        <v>0</v>
      </c>
      <c r="Q6" s="104">
        <f>VLOOKUP($A6,Alimentos!$A:$BA,17,FALSE)</f>
        <v>0</v>
      </c>
      <c r="R6" s="104">
        <f>VLOOKUP($A6,Alimentos!$A:$BA,18,FALSE)</f>
        <v>0</v>
      </c>
      <c r="S6" s="104">
        <f>VLOOKUP($A6,Alimentos!$A:$BA,19,FALSE)</f>
        <v>0</v>
      </c>
      <c r="T6" s="104">
        <f>VLOOKUP($A6,Alimentos!$A:$BA,20,FALSE)</f>
        <v>0</v>
      </c>
      <c r="U6" s="104">
        <f>VLOOKUP($A6,Alimentos!$A:$BA,21,FALSE)</f>
        <v>0</v>
      </c>
      <c r="V6" s="104">
        <f>VLOOKUP($A6,Alimentos!$A:$BA,22,FALSE)</f>
        <v>0</v>
      </c>
      <c r="W6" s="106">
        <f>VLOOKUP($A6,Alimentos!$A:$BA,23,FALSE)</f>
        <v>0</v>
      </c>
      <c r="X6" s="106">
        <f>VLOOKUP($A6,Alimentos!$A:$BA,24,FALSE)</f>
        <v>0</v>
      </c>
      <c r="Y6" s="106">
        <f>VLOOKUP($A6,Alimentos!$A:$BA,25,FALSE)</f>
        <v>0</v>
      </c>
      <c r="Z6" s="106">
        <f>VLOOKUP($A6,Alimentos!$A:$BA,26,FALSE)</f>
        <v>0</v>
      </c>
      <c r="AA6" s="106">
        <f>VLOOKUP($A6,Alimentos!$A:$BA,27,FALSE)</f>
        <v>0</v>
      </c>
      <c r="AB6" s="106">
        <f>VLOOKUP($A6,Alimentos!$A:$BA,28,FALSE)</f>
        <v>0</v>
      </c>
      <c r="AC6" s="106">
        <f>VLOOKUP($A6,Alimentos!$A:$BA,29,FALSE)</f>
        <v>0</v>
      </c>
      <c r="AD6" s="106">
        <f>VLOOKUP($A6,Alimentos!$A:$BA,30,FALSE)</f>
        <v>0</v>
      </c>
      <c r="AE6" s="106">
        <f>VLOOKUP($A6,Alimentos!$A:$BA,31,FALSE)</f>
        <v>0</v>
      </c>
      <c r="AF6" s="107">
        <f>VLOOKUP($A6,Alimentos!$A:$BA,32,FALSE)</f>
        <v>0</v>
      </c>
      <c r="AG6" s="107">
        <f>VLOOKUP($A6,Alimentos!$A:$BA,33,FALSE)</f>
        <v>0</v>
      </c>
      <c r="AH6" s="107">
        <f>VLOOKUP($A6,Alimentos!$A:$BA,34,FALSE)</f>
        <v>0</v>
      </c>
      <c r="AI6" s="107">
        <f>VLOOKUP($A6,Alimentos!$A:$BA,35,FALSE)</f>
        <v>0</v>
      </c>
      <c r="AJ6" s="107">
        <f>VLOOKUP($A6,Alimentos!$A:$BA,36,FALSE)</f>
        <v>0</v>
      </c>
      <c r="AK6" s="107">
        <f>VLOOKUP($A6,Alimentos!$A:$BA,37,FALSE)</f>
        <v>0</v>
      </c>
      <c r="AL6" s="107">
        <f>VLOOKUP($A6,Alimentos!$A:$BA,38,FALSE)</f>
        <v>0</v>
      </c>
      <c r="AM6" s="107">
        <f>VLOOKUP($A6,Alimentos!$A:$BA,39,FALSE)</f>
        <v>0</v>
      </c>
      <c r="AN6" s="107">
        <f>VLOOKUP($A6,Alimentos!$A:$BA,40,FALSE)</f>
        <v>0</v>
      </c>
      <c r="AO6" s="107">
        <f>VLOOKUP($A6,Alimentos!$A:$BA,41,FALSE)</f>
        <v>0</v>
      </c>
      <c r="AP6" s="107">
        <f>VLOOKUP($A6,Alimentos!$A:$BA,42,FALSE)</f>
        <v>0</v>
      </c>
      <c r="AQ6" s="107">
        <f>VLOOKUP($A6,Alimentos!$A:$BA,43,FALSE)</f>
        <v>0</v>
      </c>
      <c r="AR6" s="107">
        <f>VLOOKUP($A6,Alimentos!$A:$BA,44,FALSE)</f>
        <v>0</v>
      </c>
      <c r="AS6" s="107">
        <f>VLOOKUP($A6,Alimentos!$A:$BA,45,FALSE)</f>
        <v>0</v>
      </c>
    </row>
    <row r="7" spans="1:47" x14ac:dyDescent="0.25">
      <c r="A7" s="108" t="s">
        <v>60</v>
      </c>
      <c r="B7" s="109">
        <f>VLOOKUP($A7,Alimentos!$A:$BA,2,FALSE)</f>
        <v>0</v>
      </c>
      <c r="C7" s="110">
        <f>VLOOKUP($A7,Alimentos!$A:$BA,4,FALSE)</f>
        <v>0</v>
      </c>
      <c r="D7" s="109"/>
      <c r="E7" s="111">
        <f>VLOOKUP($A7,Alimentos!$A:$BA,5,FALSE)</f>
        <v>0</v>
      </c>
      <c r="F7" s="111">
        <f>VLOOKUP($A7,Alimentos!$A:$BA,6,FALSE)</f>
        <v>0</v>
      </c>
      <c r="G7" s="111">
        <f>VLOOKUP($A7,Alimentos!$A:$BA,7,FALSE)</f>
        <v>0</v>
      </c>
      <c r="H7" s="111">
        <f>VLOOKUP($A7,Alimentos!$A:$BA,8,FALSE)</f>
        <v>0</v>
      </c>
      <c r="I7" s="111">
        <f>VLOOKUP($A7,Alimentos!$A:$BA,9,FALSE)</f>
        <v>0</v>
      </c>
      <c r="J7" s="111">
        <f>VLOOKUP($A7,Alimentos!$A:$BA,10,FALSE)</f>
        <v>0</v>
      </c>
      <c r="K7" s="111">
        <f>VLOOKUP($A7,Alimentos!$A:$BA,11,FALSE)</f>
        <v>0</v>
      </c>
      <c r="L7" s="111">
        <f>VLOOKUP($A7,Alimentos!$A:$BA,12,FALSE)</f>
        <v>0</v>
      </c>
      <c r="M7" s="111">
        <f>VLOOKUP($A7,Alimentos!$A:$BA,13,FALSE)</f>
        <v>0</v>
      </c>
      <c r="N7" s="111">
        <f>VLOOKUP($A7,Alimentos!$A:$BA,14,FALSE)</f>
        <v>0</v>
      </c>
      <c r="O7" s="90">
        <f>VLOOKUP($A7,Alimentos!$A:$BA,15,FALSE)</f>
        <v>0</v>
      </c>
      <c r="P7" s="111">
        <f>VLOOKUP($A7,Alimentos!$A:$BA,16,FALSE)</f>
        <v>0</v>
      </c>
      <c r="Q7" s="111">
        <f>VLOOKUP($A7,Alimentos!$A:$BA,17,FALSE)</f>
        <v>0</v>
      </c>
      <c r="R7" s="111">
        <f>VLOOKUP($A7,Alimentos!$A:$BA,18,FALSE)</f>
        <v>0</v>
      </c>
      <c r="S7" s="111">
        <f>VLOOKUP($A7,Alimentos!$A:$BA,19,FALSE)</f>
        <v>0</v>
      </c>
      <c r="T7" s="111">
        <f>VLOOKUP($A7,Alimentos!$A:$BA,20,FALSE)</f>
        <v>0</v>
      </c>
      <c r="U7" s="111">
        <f>VLOOKUP($A7,Alimentos!$A:$BA,21,FALSE)</f>
        <v>0</v>
      </c>
      <c r="V7" s="111">
        <f>VLOOKUP($A7,Alimentos!$A:$BA,22,FALSE)</f>
        <v>0</v>
      </c>
      <c r="W7" s="112">
        <f>VLOOKUP($A7,Alimentos!$A:$BA,23,FALSE)</f>
        <v>0</v>
      </c>
      <c r="X7" s="112">
        <f>VLOOKUP($A7,Alimentos!$A:$BA,24,FALSE)</f>
        <v>0</v>
      </c>
      <c r="Y7" s="112">
        <f>VLOOKUP($A7,Alimentos!$A:$BA,25,FALSE)</f>
        <v>0</v>
      </c>
      <c r="Z7" s="112">
        <f>VLOOKUP($A7,Alimentos!$A:$BA,26,FALSE)</f>
        <v>0</v>
      </c>
      <c r="AA7" s="112">
        <f>VLOOKUP($A7,Alimentos!$A:$BA,27,FALSE)</f>
        <v>0</v>
      </c>
      <c r="AB7" s="112">
        <f>VLOOKUP($A7,Alimentos!$A:$BA,28,FALSE)</f>
        <v>0</v>
      </c>
      <c r="AC7" s="112">
        <f>VLOOKUP($A7,Alimentos!$A:$BA,29,FALSE)</f>
        <v>0</v>
      </c>
      <c r="AD7" s="112">
        <f>VLOOKUP($A7,Alimentos!$A:$BA,30,FALSE)</f>
        <v>0</v>
      </c>
      <c r="AE7" s="112">
        <f>VLOOKUP($A7,Alimentos!$A:$BA,31,FALSE)</f>
        <v>0</v>
      </c>
      <c r="AF7" s="113">
        <f>VLOOKUP($A7,Alimentos!$A:$BA,32,FALSE)</f>
        <v>0</v>
      </c>
      <c r="AG7" s="113">
        <f>VLOOKUP($A7,Alimentos!$A:$BA,33,FALSE)</f>
        <v>0</v>
      </c>
      <c r="AH7" s="113">
        <f>VLOOKUP($A7,Alimentos!$A:$BA,34,FALSE)</f>
        <v>0</v>
      </c>
      <c r="AI7" s="113">
        <f>VLOOKUP($A7,Alimentos!$A:$BA,35,FALSE)</f>
        <v>0</v>
      </c>
      <c r="AJ7" s="113">
        <f>VLOOKUP($A7,Alimentos!$A:$BA,36,FALSE)</f>
        <v>0</v>
      </c>
      <c r="AK7" s="113">
        <f>VLOOKUP($A7,Alimentos!$A:$BA,37,FALSE)</f>
        <v>0</v>
      </c>
      <c r="AL7" s="113">
        <f>VLOOKUP($A7,Alimentos!$A:$BA,38,FALSE)</f>
        <v>0</v>
      </c>
      <c r="AM7" s="113">
        <f>VLOOKUP($A7,Alimentos!$A:$BA,39,FALSE)</f>
        <v>0</v>
      </c>
      <c r="AN7" s="113">
        <f>VLOOKUP($A7,Alimentos!$A:$BA,40,FALSE)</f>
        <v>0</v>
      </c>
      <c r="AO7" s="113">
        <f>VLOOKUP($A7,Alimentos!$A:$BA,41,FALSE)</f>
        <v>0</v>
      </c>
      <c r="AP7" s="113">
        <f>VLOOKUP($A7,Alimentos!$A:$BA,42,FALSE)</f>
        <v>0</v>
      </c>
      <c r="AQ7" s="113">
        <f>VLOOKUP($A7,Alimentos!$A:$BA,43,FALSE)</f>
        <v>0</v>
      </c>
      <c r="AR7" s="113">
        <f>VLOOKUP($A7,Alimentos!$A:$BA,44,FALSE)</f>
        <v>0</v>
      </c>
      <c r="AS7" s="113">
        <f>VLOOKUP($A7,Alimentos!$A:$BA,45,FALSE)</f>
        <v>0</v>
      </c>
    </row>
    <row r="8" spans="1:47" x14ac:dyDescent="0.25">
      <c r="A8" s="108" t="s">
        <v>60</v>
      </c>
      <c r="B8" s="109">
        <f>VLOOKUP($A8,Alimentos!$A:$BA,2,FALSE)</f>
        <v>0</v>
      </c>
      <c r="C8" s="114">
        <f>VLOOKUP($A8,Alimentos!$A:$BA,4,FALSE)</f>
        <v>0</v>
      </c>
      <c r="E8" s="111">
        <f>VLOOKUP($A8,Alimentos!$A:$BA,5,FALSE)</f>
        <v>0</v>
      </c>
      <c r="F8" s="111">
        <f>VLOOKUP($A8,Alimentos!$A:$BA,6,FALSE)</f>
        <v>0</v>
      </c>
      <c r="G8" s="111">
        <f>VLOOKUP($A8,Alimentos!$A:$BA,7,FALSE)</f>
        <v>0</v>
      </c>
      <c r="H8" s="111">
        <f>VLOOKUP($A8,Alimentos!$A:$BA,8,FALSE)</f>
        <v>0</v>
      </c>
      <c r="I8" s="111">
        <f>VLOOKUP($A8,Alimentos!$A:$BA,9,FALSE)</f>
        <v>0</v>
      </c>
      <c r="J8" s="111">
        <f>VLOOKUP($A8,Alimentos!$A:$BA,10,FALSE)</f>
        <v>0</v>
      </c>
      <c r="K8" s="111">
        <f>VLOOKUP($A8,Alimentos!$A:$BA,11,FALSE)</f>
        <v>0</v>
      </c>
      <c r="L8" s="111">
        <f>VLOOKUP($A8,Alimentos!$A:$BA,12,FALSE)</f>
        <v>0</v>
      </c>
      <c r="M8" s="111">
        <f>VLOOKUP($A8,Alimentos!$A:$BA,13,FALSE)</f>
        <v>0</v>
      </c>
      <c r="N8" s="111">
        <f>VLOOKUP($A8,Alimentos!$A:$BA,14,FALSE)</f>
        <v>0</v>
      </c>
      <c r="O8" s="90">
        <f>VLOOKUP($A8,Alimentos!$A:$BA,15,FALSE)</f>
        <v>0</v>
      </c>
      <c r="P8" s="111">
        <f>VLOOKUP($A8,Alimentos!$A:$BA,16,FALSE)</f>
        <v>0</v>
      </c>
      <c r="Q8" s="111">
        <f>VLOOKUP($A8,Alimentos!$A:$BA,17,FALSE)</f>
        <v>0</v>
      </c>
      <c r="R8" s="111">
        <f>VLOOKUP($A8,Alimentos!$A:$BA,18,FALSE)</f>
        <v>0</v>
      </c>
      <c r="S8" s="111">
        <f>VLOOKUP($A8,Alimentos!$A:$BA,19,FALSE)</f>
        <v>0</v>
      </c>
      <c r="T8" s="111">
        <f>VLOOKUP($A8,Alimentos!$A:$BA,20,FALSE)</f>
        <v>0</v>
      </c>
      <c r="U8" s="111">
        <f>VLOOKUP($A8,Alimentos!$A:$BA,21,FALSE)</f>
        <v>0</v>
      </c>
      <c r="V8" s="111">
        <f>VLOOKUP($A8,Alimentos!$A:$BA,22,FALSE)</f>
        <v>0</v>
      </c>
      <c r="W8" s="112">
        <f>VLOOKUP($A8,Alimentos!$A:$BA,23,FALSE)</f>
        <v>0</v>
      </c>
      <c r="X8" s="112">
        <f>VLOOKUP($A8,Alimentos!$A:$BA,24,FALSE)</f>
        <v>0</v>
      </c>
      <c r="Y8" s="112">
        <f>VLOOKUP($A8,Alimentos!$A:$BA,25,FALSE)</f>
        <v>0</v>
      </c>
      <c r="Z8" s="112">
        <f>VLOOKUP($A8,Alimentos!$A:$BA,26,FALSE)</f>
        <v>0</v>
      </c>
      <c r="AA8" s="112">
        <f>VLOOKUP($A8,Alimentos!$A:$BA,27,FALSE)</f>
        <v>0</v>
      </c>
      <c r="AB8" s="112">
        <f>VLOOKUP($A8,Alimentos!$A:$BA,28,FALSE)</f>
        <v>0</v>
      </c>
      <c r="AC8" s="112">
        <f>VLOOKUP($A8,Alimentos!$A:$BA,29,FALSE)</f>
        <v>0</v>
      </c>
      <c r="AD8" s="112">
        <f>VLOOKUP($A8,Alimentos!$A:$BA,30,FALSE)</f>
        <v>0</v>
      </c>
      <c r="AE8" s="112">
        <f>VLOOKUP($A8,Alimentos!$A:$BA,31,FALSE)</f>
        <v>0</v>
      </c>
      <c r="AF8" s="113">
        <f>VLOOKUP($A8,Alimentos!$A:$BA,32,FALSE)</f>
        <v>0</v>
      </c>
      <c r="AG8" s="113">
        <f>VLOOKUP($A8,Alimentos!$A:$BA,33,FALSE)</f>
        <v>0</v>
      </c>
      <c r="AH8" s="113">
        <f>VLOOKUP($A8,Alimentos!$A:$BA,34,FALSE)</f>
        <v>0</v>
      </c>
      <c r="AI8" s="113">
        <f>VLOOKUP($A8,Alimentos!$A:$BA,35,FALSE)</f>
        <v>0</v>
      </c>
      <c r="AJ8" s="113">
        <f>VLOOKUP($A8,Alimentos!$A:$BA,36,FALSE)</f>
        <v>0</v>
      </c>
      <c r="AK8" s="113">
        <f>VLOOKUP($A8,Alimentos!$A:$BA,37,FALSE)</f>
        <v>0</v>
      </c>
      <c r="AL8" s="113">
        <f>VLOOKUP($A8,Alimentos!$A:$BA,38,FALSE)</f>
        <v>0</v>
      </c>
      <c r="AM8" s="113">
        <f>VLOOKUP($A8,Alimentos!$A:$BA,39,FALSE)</f>
        <v>0</v>
      </c>
      <c r="AN8" s="113">
        <f>VLOOKUP($A8,Alimentos!$A:$BA,40,FALSE)</f>
        <v>0</v>
      </c>
      <c r="AO8" s="113">
        <f>VLOOKUP($A8,Alimentos!$A:$BA,41,FALSE)</f>
        <v>0</v>
      </c>
      <c r="AP8" s="113">
        <f>VLOOKUP($A8,Alimentos!$A:$BA,42,FALSE)</f>
        <v>0</v>
      </c>
      <c r="AQ8" s="113">
        <f>VLOOKUP($A8,Alimentos!$A:$BA,43,FALSE)</f>
        <v>0</v>
      </c>
      <c r="AR8" s="113">
        <f>VLOOKUP($A8,Alimentos!$A:$BA,44,FALSE)</f>
        <v>0</v>
      </c>
      <c r="AS8" s="113">
        <f>VLOOKUP($A8,Alimentos!$A:$BA,45,FALSE)</f>
        <v>0</v>
      </c>
    </row>
    <row r="9" spans="1:47" x14ac:dyDescent="0.25">
      <c r="A9" s="108" t="s">
        <v>60</v>
      </c>
      <c r="B9" s="109">
        <f>VLOOKUP($A9,Alimentos!$A:$BA,2,FALSE)</f>
        <v>0</v>
      </c>
      <c r="C9" s="114">
        <f>VLOOKUP($A9,Alimentos!$A:$BA,4,FALSE)</f>
        <v>0</v>
      </c>
      <c r="E9" s="111">
        <f>VLOOKUP($A9,Alimentos!$A:$BA,5,FALSE)</f>
        <v>0</v>
      </c>
      <c r="F9" s="111">
        <f>VLOOKUP($A9,Alimentos!$A:$BA,6,FALSE)</f>
        <v>0</v>
      </c>
      <c r="G9" s="111">
        <f>VLOOKUP($A9,Alimentos!$A:$BA,7,FALSE)</f>
        <v>0</v>
      </c>
      <c r="H9" s="111">
        <f>VLOOKUP($A9,Alimentos!$A:$BA,8,FALSE)</f>
        <v>0</v>
      </c>
      <c r="I9" s="111">
        <f>VLOOKUP($A9,Alimentos!$A:$BA,9,FALSE)</f>
        <v>0</v>
      </c>
      <c r="J9" s="111">
        <f>VLOOKUP($A9,Alimentos!$A:$BA,10,FALSE)</f>
        <v>0</v>
      </c>
      <c r="K9" s="111">
        <f>VLOOKUP($A9,Alimentos!$A:$BA,11,FALSE)</f>
        <v>0</v>
      </c>
      <c r="L9" s="111">
        <f>VLOOKUP($A9,Alimentos!$A:$BA,12,FALSE)</f>
        <v>0</v>
      </c>
      <c r="M9" s="111">
        <f>VLOOKUP($A9,Alimentos!$A:$BA,13,FALSE)</f>
        <v>0</v>
      </c>
      <c r="N9" s="111">
        <f>VLOOKUP($A9,Alimentos!$A:$BA,14,FALSE)</f>
        <v>0</v>
      </c>
      <c r="O9" s="90">
        <f>VLOOKUP($A9,Alimentos!$A:$BA,15,FALSE)</f>
        <v>0</v>
      </c>
      <c r="P9" s="111">
        <f>VLOOKUP($A9,Alimentos!$A:$BA,16,FALSE)</f>
        <v>0</v>
      </c>
      <c r="Q9" s="111">
        <f>VLOOKUP($A9,Alimentos!$A:$BA,17,FALSE)</f>
        <v>0</v>
      </c>
      <c r="R9" s="111">
        <f>VLOOKUP($A9,Alimentos!$A:$BA,18,FALSE)</f>
        <v>0</v>
      </c>
      <c r="S9" s="111">
        <f>VLOOKUP($A9,Alimentos!$A:$BA,19,FALSE)</f>
        <v>0</v>
      </c>
      <c r="T9" s="111">
        <f>VLOOKUP($A9,Alimentos!$A:$BA,20,FALSE)</f>
        <v>0</v>
      </c>
      <c r="U9" s="111">
        <f>VLOOKUP($A9,Alimentos!$A:$BA,21,FALSE)</f>
        <v>0</v>
      </c>
      <c r="V9" s="111">
        <f>VLOOKUP($A9,Alimentos!$A:$BA,22,FALSE)</f>
        <v>0</v>
      </c>
      <c r="W9" s="112">
        <f>VLOOKUP($A9,Alimentos!$A:$BA,23,FALSE)</f>
        <v>0</v>
      </c>
      <c r="X9" s="112">
        <f>VLOOKUP($A9,Alimentos!$A:$BA,24,FALSE)</f>
        <v>0</v>
      </c>
      <c r="Y9" s="112">
        <f>VLOOKUP($A9,Alimentos!$A:$BA,25,FALSE)</f>
        <v>0</v>
      </c>
      <c r="Z9" s="112">
        <f>VLOOKUP($A9,Alimentos!$A:$BA,26,FALSE)</f>
        <v>0</v>
      </c>
      <c r="AA9" s="112">
        <f>VLOOKUP($A9,Alimentos!$A:$BA,27,FALSE)</f>
        <v>0</v>
      </c>
      <c r="AB9" s="112">
        <f>VLOOKUP($A9,Alimentos!$A:$BA,28,FALSE)</f>
        <v>0</v>
      </c>
      <c r="AC9" s="112">
        <f>VLOOKUP($A9,Alimentos!$A:$BA,29,FALSE)</f>
        <v>0</v>
      </c>
      <c r="AD9" s="112">
        <f>VLOOKUP($A9,Alimentos!$A:$BA,30,FALSE)</f>
        <v>0</v>
      </c>
      <c r="AE9" s="112">
        <f>VLOOKUP($A9,Alimentos!$A:$BA,31,FALSE)</f>
        <v>0</v>
      </c>
      <c r="AF9" s="113">
        <f>VLOOKUP($A9,Alimentos!$A:$BA,32,FALSE)</f>
        <v>0</v>
      </c>
      <c r="AG9" s="113">
        <f>VLOOKUP($A9,Alimentos!$A:$BA,33,FALSE)</f>
        <v>0</v>
      </c>
      <c r="AH9" s="113">
        <f>VLOOKUP($A9,Alimentos!$A:$BA,34,FALSE)</f>
        <v>0</v>
      </c>
      <c r="AI9" s="113">
        <f>VLOOKUP($A9,Alimentos!$A:$BA,35,FALSE)</f>
        <v>0</v>
      </c>
      <c r="AJ9" s="113">
        <f>VLOOKUP($A9,Alimentos!$A:$BA,36,FALSE)</f>
        <v>0</v>
      </c>
      <c r="AK9" s="113">
        <f>VLOOKUP($A9,Alimentos!$A:$BA,37,FALSE)</f>
        <v>0</v>
      </c>
      <c r="AL9" s="113">
        <f>VLOOKUP($A9,Alimentos!$A:$BA,38,FALSE)</f>
        <v>0</v>
      </c>
      <c r="AM9" s="113">
        <f>VLOOKUP($A9,Alimentos!$A:$BA,39,FALSE)</f>
        <v>0</v>
      </c>
      <c r="AN9" s="113">
        <f>VLOOKUP($A9,Alimentos!$A:$BA,40,FALSE)</f>
        <v>0</v>
      </c>
      <c r="AO9" s="113">
        <f>VLOOKUP($A9,Alimentos!$A:$BA,41,FALSE)</f>
        <v>0</v>
      </c>
      <c r="AP9" s="113">
        <f>VLOOKUP($A9,Alimentos!$A:$BA,42,FALSE)</f>
        <v>0</v>
      </c>
      <c r="AQ9" s="113">
        <f>VLOOKUP($A9,Alimentos!$A:$BA,43,FALSE)</f>
        <v>0</v>
      </c>
      <c r="AR9" s="113">
        <f>VLOOKUP($A9,Alimentos!$A:$BA,44,FALSE)</f>
        <v>0</v>
      </c>
      <c r="AS9" s="113">
        <f>VLOOKUP($A9,Alimentos!$A:$BA,45,FALSE)</f>
        <v>0</v>
      </c>
    </row>
    <row r="10" spans="1:47" x14ac:dyDescent="0.25">
      <c r="A10" s="108" t="s">
        <v>60</v>
      </c>
      <c r="B10" s="109">
        <f>VLOOKUP($A10,Alimentos!$A:$BA,2,FALSE)</f>
        <v>0</v>
      </c>
      <c r="C10" s="114">
        <f>VLOOKUP($A10,Alimentos!$A:$BA,4,FALSE)</f>
        <v>0</v>
      </c>
      <c r="E10" s="111">
        <f>VLOOKUP($A10,Alimentos!$A:$BA,5,FALSE)</f>
        <v>0</v>
      </c>
      <c r="F10" s="111">
        <f>VLOOKUP($A10,Alimentos!$A:$BA,6,FALSE)</f>
        <v>0</v>
      </c>
      <c r="G10" s="111">
        <f>VLOOKUP($A10,Alimentos!$A:$BA,7,FALSE)</f>
        <v>0</v>
      </c>
      <c r="H10" s="111">
        <f>VLOOKUP($A10,Alimentos!$A:$BA,8,FALSE)</f>
        <v>0</v>
      </c>
      <c r="I10" s="111">
        <f>VLOOKUP($A10,Alimentos!$A:$BA,9,FALSE)</f>
        <v>0</v>
      </c>
      <c r="J10" s="111">
        <f>VLOOKUP($A10,Alimentos!$A:$BA,10,FALSE)</f>
        <v>0</v>
      </c>
      <c r="K10" s="111">
        <f>VLOOKUP($A10,Alimentos!$A:$BA,11,FALSE)</f>
        <v>0</v>
      </c>
      <c r="L10" s="111">
        <f>VLOOKUP($A10,Alimentos!$A:$BA,12,FALSE)</f>
        <v>0</v>
      </c>
      <c r="M10" s="111">
        <f>VLOOKUP($A10,Alimentos!$A:$BA,13,FALSE)</f>
        <v>0</v>
      </c>
      <c r="N10" s="111">
        <f>VLOOKUP($A10,Alimentos!$A:$BA,14,FALSE)</f>
        <v>0</v>
      </c>
      <c r="O10" s="90">
        <f>VLOOKUP($A10,Alimentos!$A:$BA,15,FALSE)</f>
        <v>0</v>
      </c>
      <c r="P10" s="111">
        <f>VLOOKUP($A10,Alimentos!$A:$BA,16,FALSE)</f>
        <v>0</v>
      </c>
      <c r="Q10" s="111">
        <f>VLOOKUP($A10,Alimentos!$A:$BA,17,FALSE)</f>
        <v>0</v>
      </c>
      <c r="R10" s="111">
        <f>VLOOKUP($A10,Alimentos!$A:$BA,18,FALSE)</f>
        <v>0</v>
      </c>
      <c r="S10" s="111">
        <f>VLOOKUP($A10,Alimentos!$A:$BA,19,FALSE)</f>
        <v>0</v>
      </c>
      <c r="T10" s="111">
        <f>VLOOKUP($A10,Alimentos!$A:$BA,20,FALSE)</f>
        <v>0</v>
      </c>
      <c r="U10" s="111">
        <f>VLOOKUP($A10,Alimentos!$A:$BA,21,FALSE)</f>
        <v>0</v>
      </c>
      <c r="V10" s="111">
        <f>VLOOKUP($A10,Alimentos!$A:$BA,22,FALSE)</f>
        <v>0</v>
      </c>
      <c r="W10" s="112">
        <f>VLOOKUP($A10,Alimentos!$A:$BA,23,FALSE)</f>
        <v>0</v>
      </c>
      <c r="X10" s="112">
        <f>VLOOKUP($A10,Alimentos!$A:$BA,24,FALSE)</f>
        <v>0</v>
      </c>
      <c r="Y10" s="112">
        <f>VLOOKUP($A10,Alimentos!$A:$BA,25,FALSE)</f>
        <v>0</v>
      </c>
      <c r="Z10" s="112">
        <f>VLOOKUP($A10,Alimentos!$A:$BA,26,FALSE)</f>
        <v>0</v>
      </c>
      <c r="AA10" s="112">
        <f>VLOOKUP($A10,Alimentos!$A:$BA,27,FALSE)</f>
        <v>0</v>
      </c>
      <c r="AB10" s="112">
        <f>VLOOKUP($A10,Alimentos!$A:$BA,28,FALSE)</f>
        <v>0</v>
      </c>
      <c r="AC10" s="112">
        <f>VLOOKUP($A10,Alimentos!$A:$BA,29,FALSE)</f>
        <v>0</v>
      </c>
      <c r="AD10" s="112">
        <f>VLOOKUP($A10,Alimentos!$A:$BA,30,FALSE)</f>
        <v>0</v>
      </c>
      <c r="AE10" s="112">
        <f>VLOOKUP($A10,Alimentos!$A:$BA,31,FALSE)</f>
        <v>0</v>
      </c>
      <c r="AF10" s="113">
        <f>VLOOKUP($A10,Alimentos!$A:$BA,32,FALSE)</f>
        <v>0</v>
      </c>
      <c r="AG10" s="113">
        <f>VLOOKUP($A10,Alimentos!$A:$BA,33,FALSE)</f>
        <v>0</v>
      </c>
      <c r="AH10" s="113">
        <f>VLOOKUP($A10,Alimentos!$A:$BA,34,FALSE)</f>
        <v>0</v>
      </c>
      <c r="AI10" s="113">
        <f>VLOOKUP($A10,Alimentos!$A:$BA,35,FALSE)</f>
        <v>0</v>
      </c>
      <c r="AJ10" s="113">
        <f>VLOOKUP($A10,Alimentos!$A:$BA,36,FALSE)</f>
        <v>0</v>
      </c>
      <c r="AK10" s="113">
        <f>VLOOKUP($A10,Alimentos!$A:$BA,37,FALSE)</f>
        <v>0</v>
      </c>
      <c r="AL10" s="113">
        <f>VLOOKUP($A10,Alimentos!$A:$BA,38,FALSE)</f>
        <v>0</v>
      </c>
      <c r="AM10" s="113">
        <f>VLOOKUP($A10,Alimentos!$A:$BA,39,FALSE)</f>
        <v>0</v>
      </c>
      <c r="AN10" s="113">
        <f>VLOOKUP($A10,Alimentos!$A:$BA,40,FALSE)</f>
        <v>0</v>
      </c>
      <c r="AO10" s="113">
        <f>VLOOKUP($A10,Alimentos!$A:$BA,41,FALSE)</f>
        <v>0</v>
      </c>
      <c r="AP10" s="113">
        <f>VLOOKUP($A10,Alimentos!$A:$BA,42,FALSE)</f>
        <v>0</v>
      </c>
      <c r="AQ10" s="113">
        <f>VLOOKUP($A10,Alimentos!$A:$BA,43,FALSE)</f>
        <v>0</v>
      </c>
      <c r="AR10" s="113">
        <f>VLOOKUP($A10,Alimentos!$A:$BA,44,FALSE)</f>
        <v>0</v>
      </c>
      <c r="AS10" s="113">
        <f>VLOOKUP($A10,Alimentos!$A:$BA,45,FALSE)</f>
        <v>0</v>
      </c>
    </row>
    <row r="11" spans="1:47" x14ac:dyDescent="0.25">
      <c r="A11" s="108" t="s">
        <v>60</v>
      </c>
      <c r="B11" s="109">
        <f>VLOOKUP($A11,Alimentos!$A:$BA,2,FALSE)</f>
        <v>0</v>
      </c>
      <c r="C11" s="114">
        <f>VLOOKUP($A11,Alimentos!$A:$BA,4,FALSE)</f>
        <v>0</v>
      </c>
      <c r="E11" s="111">
        <f>VLOOKUP($A11,Alimentos!$A:$BA,5,FALSE)</f>
        <v>0</v>
      </c>
      <c r="F11" s="111">
        <f>VLOOKUP($A11,Alimentos!$A:$BA,6,FALSE)</f>
        <v>0</v>
      </c>
      <c r="G11" s="111">
        <f>VLOOKUP($A11,Alimentos!$A:$BA,7,FALSE)</f>
        <v>0</v>
      </c>
      <c r="H11" s="111">
        <f>VLOOKUP($A11,Alimentos!$A:$BA,8,FALSE)</f>
        <v>0</v>
      </c>
      <c r="I11" s="111">
        <f>VLOOKUP($A11,Alimentos!$A:$BA,9,FALSE)</f>
        <v>0</v>
      </c>
      <c r="J11" s="111">
        <f>VLOOKUP($A11,Alimentos!$A:$BA,10,FALSE)</f>
        <v>0</v>
      </c>
      <c r="K11" s="111">
        <f>VLOOKUP($A11,Alimentos!$A:$BA,11,FALSE)</f>
        <v>0</v>
      </c>
      <c r="L11" s="111">
        <f>VLOOKUP($A11,Alimentos!$A:$BA,12,FALSE)</f>
        <v>0</v>
      </c>
      <c r="M11" s="111">
        <f>VLOOKUP($A11,Alimentos!$A:$BA,13,FALSE)</f>
        <v>0</v>
      </c>
      <c r="N11" s="111">
        <f>VLOOKUP($A11,Alimentos!$A:$BA,14,FALSE)</f>
        <v>0</v>
      </c>
      <c r="O11" s="90">
        <f>VLOOKUP($A11,Alimentos!$A:$BA,15,FALSE)</f>
        <v>0</v>
      </c>
      <c r="P11" s="111">
        <f>VLOOKUP($A11,Alimentos!$A:$BA,16,FALSE)</f>
        <v>0</v>
      </c>
      <c r="Q11" s="111">
        <f>VLOOKUP($A11,Alimentos!$A:$BA,17,FALSE)</f>
        <v>0</v>
      </c>
      <c r="R11" s="111">
        <f>VLOOKUP($A11,Alimentos!$A:$BA,18,FALSE)</f>
        <v>0</v>
      </c>
      <c r="S11" s="111">
        <f>VLOOKUP($A11,Alimentos!$A:$BA,19,FALSE)</f>
        <v>0</v>
      </c>
      <c r="T11" s="111">
        <f>VLOOKUP($A11,Alimentos!$A:$BA,20,FALSE)</f>
        <v>0</v>
      </c>
      <c r="U11" s="111">
        <f>VLOOKUP($A11,Alimentos!$A:$BA,21,FALSE)</f>
        <v>0</v>
      </c>
      <c r="V11" s="111">
        <f>VLOOKUP($A11,Alimentos!$A:$BA,22,FALSE)</f>
        <v>0</v>
      </c>
      <c r="W11" s="112">
        <f>VLOOKUP($A11,Alimentos!$A:$BA,23,FALSE)</f>
        <v>0</v>
      </c>
      <c r="X11" s="112">
        <f>VLOOKUP($A11,Alimentos!$A:$BA,24,FALSE)</f>
        <v>0</v>
      </c>
      <c r="Y11" s="112">
        <f>VLOOKUP($A11,Alimentos!$A:$BA,25,FALSE)</f>
        <v>0</v>
      </c>
      <c r="Z11" s="112">
        <f>VLOOKUP($A11,Alimentos!$A:$BA,26,FALSE)</f>
        <v>0</v>
      </c>
      <c r="AA11" s="112">
        <f>VLOOKUP($A11,Alimentos!$A:$BA,27,FALSE)</f>
        <v>0</v>
      </c>
      <c r="AB11" s="112">
        <f>VLOOKUP($A11,Alimentos!$A:$BA,28,FALSE)</f>
        <v>0</v>
      </c>
      <c r="AC11" s="112">
        <f>VLOOKUP($A11,Alimentos!$A:$BA,29,FALSE)</f>
        <v>0</v>
      </c>
      <c r="AD11" s="112">
        <f>VLOOKUP($A11,Alimentos!$A:$BA,30,FALSE)</f>
        <v>0</v>
      </c>
      <c r="AE11" s="112">
        <f>VLOOKUP($A11,Alimentos!$A:$BA,31,FALSE)</f>
        <v>0</v>
      </c>
      <c r="AF11" s="113">
        <f>VLOOKUP($A11,Alimentos!$A:$BA,32,FALSE)</f>
        <v>0</v>
      </c>
      <c r="AG11" s="113">
        <f>VLOOKUP($A11,Alimentos!$A:$BA,33,FALSE)</f>
        <v>0</v>
      </c>
      <c r="AH11" s="113">
        <f>VLOOKUP($A11,Alimentos!$A:$BA,34,FALSE)</f>
        <v>0</v>
      </c>
      <c r="AI11" s="113">
        <f>VLOOKUP($A11,Alimentos!$A:$BA,35,FALSE)</f>
        <v>0</v>
      </c>
      <c r="AJ11" s="113">
        <f>VLOOKUP($A11,Alimentos!$A:$BA,36,FALSE)</f>
        <v>0</v>
      </c>
      <c r="AK11" s="113">
        <f>VLOOKUP($A11,Alimentos!$A:$BA,37,FALSE)</f>
        <v>0</v>
      </c>
      <c r="AL11" s="113">
        <f>VLOOKUP($A11,Alimentos!$A:$BA,38,FALSE)</f>
        <v>0</v>
      </c>
      <c r="AM11" s="113">
        <f>VLOOKUP($A11,Alimentos!$A:$BA,39,FALSE)</f>
        <v>0</v>
      </c>
      <c r="AN11" s="113">
        <f>VLOOKUP($A11,Alimentos!$A:$BA,40,FALSE)</f>
        <v>0</v>
      </c>
      <c r="AO11" s="113">
        <f>VLOOKUP($A11,Alimentos!$A:$BA,41,FALSE)</f>
        <v>0</v>
      </c>
      <c r="AP11" s="113">
        <f>VLOOKUP($A11,Alimentos!$A:$BA,42,FALSE)</f>
        <v>0</v>
      </c>
      <c r="AQ11" s="113">
        <f>VLOOKUP($A11,Alimentos!$A:$BA,43,FALSE)</f>
        <v>0</v>
      </c>
      <c r="AR11" s="113">
        <f>VLOOKUP($A11,Alimentos!$A:$BA,44,FALSE)</f>
        <v>0</v>
      </c>
      <c r="AS11" s="113">
        <f>VLOOKUP($A11,Alimentos!$A:$BA,45,FALSE)</f>
        <v>0</v>
      </c>
    </row>
    <row r="12" spans="1:47" x14ac:dyDescent="0.25">
      <c r="A12" s="108" t="s">
        <v>60</v>
      </c>
      <c r="B12" s="109">
        <f>VLOOKUP($A12,Alimentos!$A:$BA,2,FALSE)</f>
        <v>0</v>
      </c>
      <c r="C12" s="114">
        <f>VLOOKUP($A12,Alimentos!$A:$BA,4,FALSE)</f>
        <v>0</v>
      </c>
      <c r="E12" s="111">
        <f>VLOOKUP($A12,Alimentos!$A:$BA,5,FALSE)</f>
        <v>0</v>
      </c>
      <c r="F12" s="111">
        <f>VLOOKUP($A12,Alimentos!$A:$BA,6,FALSE)</f>
        <v>0</v>
      </c>
      <c r="G12" s="111">
        <f>VLOOKUP($A12,Alimentos!$A:$BA,7,FALSE)</f>
        <v>0</v>
      </c>
      <c r="H12" s="111">
        <f>VLOOKUP($A12,Alimentos!$A:$BA,8,FALSE)</f>
        <v>0</v>
      </c>
      <c r="I12" s="111">
        <f>VLOOKUP($A12,Alimentos!$A:$BA,9,FALSE)</f>
        <v>0</v>
      </c>
      <c r="J12" s="111">
        <f>VLOOKUP($A12,Alimentos!$A:$BA,10,FALSE)</f>
        <v>0</v>
      </c>
      <c r="K12" s="111">
        <f>VLOOKUP($A12,Alimentos!$A:$BA,11,FALSE)</f>
        <v>0</v>
      </c>
      <c r="L12" s="111">
        <f>VLOOKUP($A12,Alimentos!$A:$BA,12,FALSE)</f>
        <v>0</v>
      </c>
      <c r="M12" s="111">
        <f>VLOOKUP($A12,Alimentos!$A:$BA,13,FALSE)</f>
        <v>0</v>
      </c>
      <c r="N12" s="111">
        <f>VLOOKUP($A12,Alimentos!$A:$BA,14,FALSE)</f>
        <v>0</v>
      </c>
      <c r="O12" s="90">
        <f>VLOOKUP($A12,Alimentos!$A:$BA,15,FALSE)</f>
        <v>0</v>
      </c>
      <c r="P12" s="111">
        <f>VLOOKUP($A12,Alimentos!$A:$BA,16,FALSE)</f>
        <v>0</v>
      </c>
      <c r="Q12" s="111">
        <f>VLOOKUP($A12,Alimentos!$A:$BA,17,FALSE)</f>
        <v>0</v>
      </c>
      <c r="R12" s="111">
        <f>VLOOKUP($A12,Alimentos!$A:$BA,18,FALSE)</f>
        <v>0</v>
      </c>
      <c r="S12" s="111">
        <f>VLOOKUP($A12,Alimentos!$A:$BA,19,FALSE)</f>
        <v>0</v>
      </c>
      <c r="T12" s="111">
        <f>VLOOKUP($A12,Alimentos!$A:$BA,20,FALSE)</f>
        <v>0</v>
      </c>
      <c r="U12" s="111">
        <f>VLOOKUP($A12,Alimentos!$A:$BA,21,FALSE)</f>
        <v>0</v>
      </c>
      <c r="V12" s="111">
        <f>VLOOKUP($A12,Alimentos!$A:$BA,22,FALSE)</f>
        <v>0</v>
      </c>
      <c r="W12" s="112">
        <f>VLOOKUP($A12,Alimentos!$A:$BA,23,FALSE)</f>
        <v>0</v>
      </c>
      <c r="X12" s="112">
        <f>VLOOKUP($A12,Alimentos!$A:$BA,24,FALSE)</f>
        <v>0</v>
      </c>
      <c r="Y12" s="112">
        <f>VLOOKUP($A12,Alimentos!$A:$BA,25,FALSE)</f>
        <v>0</v>
      </c>
      <c r="Z12" s="112">
        <f>VLOOKUP($A12,Alimentos!$A:$BA,26,FALSE)</f>
        <v>0</v>
      </c>
      <c r="AA12" s="112">
        <f>VLOOKUP($A12,Alimentos!$A:$BA,27,FALSE)</f>
        <v>0</v>
      </c>
      <c r="AB12" s="112">
        <f>VLOOKUP($A12,Alimentos!$A:$BA,28,FALSE)</f>
        <v>0</v>
      </c>
      <c r="AC12" s="112">
        <f>VLOOKUP($A12,Alimentos!$A:$BA,29,FALSE)</f>
        <v>0</v>
      </c>
      <c r="AD12" s="112">
        <f>VLOOKUP($A12,Alimentos!$A:$BA,30,FALSE)</f>
        <v>0</v>
      </c>
      <c r="AE12" s="112">
        <f>VLOOKUP($A12,Alimentos!$A:$BA,31,FALSE)</f>
        <v>0</v>
      </c>
      <c r="AF12" s="113">
        <f>VLOOKUP($A12,Alimentos!$A:$BA,32,FALSE)</f>
        <v>0</v>
      </c>
      <c r="AG12" s="113">
        <f>VLOOKUP($A12,Alimentos!$A:$BA,33,FALSE)</f>
        <v>0</v>
      </c>
      <c r="AH12" s="113">
        <f>VLOOKUP($A12,Alimentos!$A:$BA,34,FALSE)</f>
        <v>0</v>
      </c>
      <c r="AI12" s="113">
        <f>VLOOKUP($A12,Alimentos!$A:$BA,35,FALSE)</f>
        <v>0</v>
      </c>
      <c r="AJ12" s="113">
        <f>VLOOKUP($A12,Alimentos!$A:$BA,36,FALSE)</f>
        <v>0</v>
      </c>
      <c r="AK12" s="113">
        <f>VLOOKUP($A12,Alimentos!$A:$BA,37,FALSE)</f>
        <v>0</v>
      </c>
      <c r="AL12" s="113">
        <f>VLOOKUP($A12,Alimentos!$A:$BA,38,FALSE)</f>
        <v>0</v>
      </c>
      <c r="AM12" s="113">
        <f>VLOOKUP($A12,Alimentos!$A:$BA,39,FALSE)</f>
        <v>0</v>
      </c>
      <c r="AN12" s="113">
        <f>VLOOKUP($A12,Alimentos!$A:$BA,40,FALSE)</f>
        <v>0</v>
      </c>
      <c r="AO12" s="113">
        <f>VLOOKUP($A12,Alimentos!$A:$BA,41,FALSE)</f>
        <v>0</v>
      </c>
      <c r="AP12" s="113">
        <f>VLOOKUP($A12,Alimentos!$A:$BA,42,FALSE)</f>
        <v>0</v>
      </c>
      <c r="AQ12" s="113">
        <f>VLOOKUP($A12,Alimentos!$A:$BA,43,FALSE)</f>
        <v>0</v>
      </c>
      <c r="AR12" s="113">
        <f>VLOOKUP($A12,Alimentos!$A:$BA,44,FALSE)</f>
        <v>0</v>
      </c>
      <c r="AS12" s="113">
        <f>VLOOKUP($A12,Alimentos!$A:$BA,45,FALSE)</f>
        <v>0</v>
      </c>
    </row>
    <row r="13" spans="1:47" x14ac:dyDescent="0.25">
      <c r="A13" s="108" t="s">
        <v>60</v>
      </c>
      <c r="B13" s="109">
        <f>VLOOKUP($A13,Alimentos!$A:$BA,2,FALSE)</f>
        <v>0</v>
      </c>
      <c r="C13" s="114">
        <f>VLOOKUP($A13,Alimentos!$A:$BA,4,FALSE)</f>
        <v>0</v>
      </c>
      <c r="E13" s="111">
        <f>VLOOKUP($A13,Alimentos!$A:$BA,5,FALSE)</f>
        <v>0</v>
      </c>
      <c r="F13" s="111">
        <f>VLOOKUP($A13,Alimentos!$A:$BA,6,FALSE)</f>
        <v>0</v>
      </c>
      <c r="G13" s="111">
        <f>VLOOKUP($A13,Alimentos!$A:$BA,7,FALSE)</f>
        <v>0</v>
      </c>
      <c r="H13" s="111">
        <f>VLOOKUP($A13,Alimentos!$A:$BA,8,FALSE)</f>
        <v>0</v>
      </c>
      <c r="I13" s="111">
        <f>VLOOKUP($A13,Alimentos!$A:$BA,9,FALSE)</f>
        <v>0</v>
      </c>
      <c r="J13" s="111">
        <f>VLOOKUP($A13,Alimentos!$A:$BA,10,FALSE)</f>
        <v>0</v>
      </c>
      <c r="K13" s="111">
        <f>VLOOKUP($A13,Alimentos!$A:$BA,11,FALSE)</f>
        <v>0</v>
      </c>
      <c r="L13" s="111">
        <f>VLOOKUP($A13,Alimentos!$A:$BA,12,FALSE)</f>
        <v>0</v>
      </c>
      <c r="M13" s="111">
        <f>VLOOKUP($A13,Alimentos!$A:$BA,13,FALSE)</f>
        <v>0</v>
      </c>
      <c r="N13" s="111">
        <f>VLOOKUP($A13,Alimentos!$A:$BA,14,FALSE)</f>
        <v>0</v>
      </c>
      <c r="O13" s="90">
        <f>VLOOKUP($A13,Alimentos!$A:$BA,15,FALSE)</f>
        <v>0</v>
      </c>
      <c r="P13" s="111">
        <f>VLOOKUP($A13,Alimentos!$A:$BA,16,FALSE)</f>
        <v>0</v>
      </c>
      <c r="Q13" s="111">
        <f>VLOOKUP($A13,Alimentos!$A:$BA,17,FALSE)</f>
        <v>0</v>
      </c>
      <c r="R13" s="111">
        <f>VLOOKUP($A13,Alimentos!$A:$BA,18,FALSE)</f>
        <v>0</v>
      </c>
      <c r="S13" s="111">
        <f>VLOOKUP($A13,Alimentos!$A:$BA,19,FALSE)</f>
        <v>0</v>
      </c>
      <c r="T13" s="111">
        <f>VLOOKUP($A13,Alimentos!$A:$BA,20,FALSE)</f>
        <v>0</v>
      </c>
      <c r="U13" s="111">
        <f>VLOOKUP($A13,Alimentos!$A:$BA,21,FALSE)</f>
        <v>0</v>
      </c>
      <c r="V13" s="111">
        <f>VLOOKUP($A13,Alimentos!$A:$BA,22,FALSE)</f>
        <v>0</v>
      </c>
      <c r="W13" s="112">
        <f>VLOOKUP($A13,Alimentos!$A:$BA,23,FALSE)</f>
        <v>0</v>
      </c>
      <c r="X13" s="112">
        <f>VLOOKUP($A13,Alimentos!$A:$BA,24,FALSE)</f>
        <v>0</v>
      </c>
      <c r="Y13" s="112">
        <f>VLOOKUP($A13,Alimentos!$A:$BA,25,FALSE)</f>
        <v>0</v>
      </c>
      <c r="Z13" s="112">
        <f>VLOOKUP($A13,Alimentos!$A:$BA,26,FALSE)</f>
        <v>0</v>
      </c>
      <c r="AA13" s="112">
        <f>VLOOKUP($A13,Alimentos!$A:$BA,27,FALSE)</f>
        <v>0</v>
      </c>
      <c r="AB13" s="112">
        <f>VLOOKUP($A13,Alimentos!$A:$BA,28,FALSE)</f>
        <v>0</v>
      </c>
      <c r="AC13" s="112">
        <f>VLOOKUP($A13,Alimentos!$A:$BA,29,FALSE)</f>
        <v>0</v>
      </c>
      <c r="AD13" s="112">
        <f>VLOOKUP($A13,Alimentos!$A:$BA,30,FALSE)</f>
        <v>0</v>
      </c>
      <c r="AE13" s="112">
        <f>VLOOKUP($A13,Alimentos!$A:$BA,31,FALSE)</f>
        <v>0</v>
      </c>
      <c r="AF13" s="113">
        <f>VLOOKUP($A13,Alimentos!$A:$BA,32,FALSE)</f>
        <v>0</v>
      </c>
      <c r="AG13" s="113">
        <f>VLOOKUP($A13,Alimentos!$A:$BA,33,FALSE)</f>
        <v>0</v>
      </c>
      <c r="AH13" s="113">
        <f>VLOOKUP($A13,Alimentos!$A:$BA,34,FALSE)</f>
        <v>0</v>
      </c>
      <c r="AI13" s="113">
        <f>VLOOKUP($A13,Alimentos!$A:$BA,35,FALSE)</f>
        <v>0</v>
      </c>
      <c r="AJ13" s="113">
        <f>VLOOKUP($A13,Alimentos!$A:$BA,36,FALSE)</f>
        <v>0</v>
      </c>
      <c r="AK13" s="113">
        <f>VLOOKUP($A13,Alimentos!$A:$BA,37,FALSE)</f>
        <v>0</v>
      </c>
      <c r="AL13" s="113">
        <f>VLOOKUP($A13,Alimentos!$A:$BA,38,FALSE)</f>
        <v>0</v>
      </c>
      <c r="AM13" s="115">
        <f>VLOOKUP($A13,Alimentos!$A:$BA,39,FALSE)</f>
        <v>0</v>
      </c>
      <c r="AN13" s="115">
        <f>VLOOKUP($A13,Alimentos!$A:$BA,40,FALSE)</f>
        <v>0</v>
      </c>
      <c r="AO13" s="115">
        <f>VLOOKUP($A13,Alimentos!$A:$BA,41,FALSE)</f>
        <v>0</v>
      </c>
      <c r="AP13" s="113">
        <f>VLOOKUP($A13,Alimentos!$A:$BA,42,FALSE)</f>
        <v>0</v>
      </c>
      <c r="AQ13" s="113">
        <f>VLOOKUP($A13,Alimentos!$A:$BA,43,FALSE)</f>
        <v>0</v>
      </c>
      <c r="AR13" s="113">
        <f>VLOOKUP($A13,Alimentos!$A:$BA,44,FALSE)</f>
        <v>0</v>
      </c>
      <c r="AS13" s="113">
        <f>VLOOKUP($A13,Alimentos!$A:$BA,45,FALSE)</f>
        <v>0</v>
      </c>
    </row>
    <row r="14" spans="1:47" x14ac:dyDescent="0.25">
      <c r="A14" s="108" t="s">
        <v>60</v>
      </c>
      <c r="B14" s="109">
        <f>VLOOKUP($A14,Alimentos!$A:$BA,2,FALSE)</f>
        <v>0</v>
      </c>
      <c r="C14" s="114">
        <f>VLOOKUP($A14,Alimentos!$A:$BA,4,FALSE)</f>
        <v>0</v>
      </c>
      <c r="E14" s="111">
        <f>VLOOKUP($A14,Alimentos!$A:$BA,5,FALSE)</f>
        <v>0</v>
      </c>
      <c r="F14" s="111">
        <f>VLOOKUP($A14,Alimentos!$A:$BA,6,FALSE)</f>
        <v>0</v>
      </c>
      <c r="G14" s="111">
        <f>VLOOKUP($A14,Alimentos!$A:$BA,7,FALSE)</f>
        <v>0</v>
      </c>
      <c r="H14" s="111">
        <f>VLOOKUP($A14,Alimentos!$A:$BA,8,FALSE)</f>
        <v>0</v>
      </c>
      <c r="I14" s="111">
        <f>VLOOKUP($A14,Alimentos!$A:$BA,9,FALSE)</f>
        <v>0</v>
      </c>
      <c r="J14" s="111">
        <f>VLOOKUP($A14,Alimentos!$A:$BA,10,FALSE)</f>
        <v>0</v>
      </c>
      <c r="K14" s="111">
        <f>VLOOKUP($A14,Alimentos!$A:$BA,11,FALSE)</f>
        <v>0</v>
      </c>
      <c r="L14" s="111">
        <f>VLOOKUP($A14,Alimentos!$A:$BA,12,FALSE)</f>
        <v>0</v>
      </c>
      <c r="M14" s="111">
        <f>VLOOKUP($A14,Alimentos!$A:$BA,13,FALSE)</f>
        <v>0</v>
      </c>
      <c r="N14" s="111">
        <f>VLOOKUP($A14,Alimentos!$A:$BA,14,FALSE)</f>
        <v>0</v>
      </c>
      <c r="O14" s="90">
        <f>VLOOKUP($A14,Alimentos!$A:$BA,15,FALSE)</f>
        <v>0</v>
      </c>
      <c r="P14" s="111">
        <f>VLOOKUP($A14,Alimentos!$A:$BA,16,FALSE)</f>
        <v>0</v>
      </c>
      <c r="Q14" s="111">
        <f>VLOOKUP($A14,Alimentos!$A:$BA,17,FALSE)</f>
        <v>0</v>
      </c>
      <c r="R14" s="111">
        <f>VLOOKUP($A14,Alimentos!$A:$BA,18,FALSE)</f>
        <v>0</v>
      </c>
      <c r="S14" s="111">
        <f>VLOOKUP($A14,Alimentos!$A:$BA,19,FALSE)</f>
        <v>0</v>
      </c>
      <c r="T14" s="111">
        <f>VLOOKUP($A14,Alimentos!$A:$BA,20,FALSE)</f>
        <v>0</v>
      </c>
      <c r="U14" s="111">
        <f>VLOOKUP($A14,Alimentos!$A:$BA,21,FALSE)</f>
        <v>0</v>
      </c>
      <c r="V14" s="111">
        <f>VLOOKUP($A14,Alimentos!$A:$BA,22,FALSE)</f>
        <v>0</v>
      </c>
      <c r="W14" s="112">
        <f>VLOOKUP($A14,Alimentos!$A:$BA,23,FALSE)</f>
        <v>0</v>
      </c>
      <c r="X14" s="112">
        <f>VLOOKUP($A14,Alimentos!$A:$BA,24,FALSE)</f>
        <v>0</v>
      </c>
      <c r="Y14" s="112">
        <f>VLOOKUP($A14,Alimentos!$A:$BA,25,FALSE)</f>
        <v>0</v>
      </c>
      <c r="Z14" s="112">
        <f>VLOOKUP($A14,Alimentos!$A:$BA,26,FALSE)</f>
        <v>0</v>
      </c>
      <c r="AA14" s="112">
        <f>VLOOKUP($A14,Alimentos!$A:$BA,27,FALSE)</f>
        <v>0</v>
      </c>
      <c r="AB14" s="112">
        <f>VLOOKUP($A14,Alimentos!$A:$BA,28,FALSE)</f>
        <v>0</v>
      </c>
      <c r="AC14" s="112">
        <f>VLOOKUP($A14,Alimentos!$A:$BA,29,FALSE)</f>
        <v>0</v>
      </c>
      <c r="AD14" s="112">
        <f>VLOOKUP($A14,Alimentos!$A:$BA,30,FALSE)</f>
        <v>0</v>
      </c>
      <c r="AE14" s="112">
        <f>VLOOKUP($A14,Alimentos!$A:$BA,31,FALSE)</f>
        <v>0</v>
      </c>
      <c r="AF14" s="113">
        <f>VLOOKUP($A14,Alimentos!$A:$BA,32,FALSE)</f>
        <v>0</v>
      </c>
      <c r="AG14" s="113">
        <f>VLOOKUP($A14,Alimentos!$A:$BA,33,FALSE)</f>
        <v>0</v>
      </c>
      <c r="AH14" s="113">
        <f>VLOOKUP($A14,Alimentos!$A:$BA,34,FALSE)</f>
        <v>0</v>
      </c>
      <c r="AI14" s="113">
        <f>VLOOKUP($A14,Alimentos!$A:$BA,35,FALSE)</f>
        <v>0</v>
      </c>
      <c r="AJ14" s="113">
        <f>VLOOKUP($A14,Alimentos!$A:$BA,36,FALSE)</f>
        <v>0</v>
      </c>
      <c r="AK14" s="113">
        <f>VLOOKUP($A14,Alimentos!$A:$BA,37,FALSE)</f>
        <v>0</v>
      </c>
      <c r="AL14" s="113">
        <f>VLOOKUP($A14,Alimentos!$A:$BA,38,FALSE)</f>
        <v>0</v>
      </c>
      <c r="AM14" s="113">
        <f>VLOOKUP($A14,Alimentos!$A:$BA,39,FALSE)</f>
        <v>0</v>
      </c>
      <c r="AN14" s="113">
        <f>VLOOKUP($A14,Alimentos!$A:$BA,40,FALSE)</f>
        <v>0</v>
      </c>
      <c r="AO14" s="113">
        <f>VLOOKUP($A14,Alimentos!$A:$BA,41,FALSE)</f>
        <v>0</v>
      </c>
      <c r="AP14" s="113">
        <f>VLOOKUP($A14,Alimentos!$A:$BA,42,FALSE)</f>
        <v>0</v>
      </c>
      <c r="AQ14" s="113">
        <f>VLOOKUP($A14,Alimentos!$A:$BA,43,FALSE)</f>
        <v>0</v>
      </c>
      <c r="AR14" s="113">
        <f>VLOOKUP($A14,Alimentos!$A:$BA,44,FALSE)</f>
        <v>0</v>
      </c>
      <c r="AS14" s="113">
        <f>VLOOKUP($A14,Alimentos!$A:$BA,45,FALSE)</f>
        <v>0</v>
      </c>
    </row>
    <row r="15" spans="1:47" x14ac:dyDescent="0.25">
      <c r="A15" s="108" t="s">
        <v>60</v>
      </c>
      <c r="B15" s="109">
        <f>VLOOKUP($A15,Alimentos!$A:$BA,2,FALSE)</f>
        <v>0</v>
      </c>
      <c r="C15" s="114">
        <f>VLOOKUP($A15,Alimentos!$A:$BA,4,FALSE)</f>
        <v>0</v>
      </c>
      <c r="E15" s="111">
        <f>VLOOKUP($A15,Alimentos!$A:$BA,5,FALSE)</f>
        <v>0</v>
      </c>
      <c r="F15" s="111">
        <f>VLOOKUP($A15,Alimentos!$A:$BA,6,FALSE)</f>
        <v>0</v>
      </c>
      <c r="G15" s="111">
        <f>VLOOKUP($A15,Alimentos!$A:$BA,7,FALSE)</f>
        <v>0</v>
      </c>
      <c r="H15" s="111">
        <f>VLOOKUP($A15,Alimentos!$A:$BA,8,FALSE)</f>
        <v>0</v>
      </c>
      <c r="I15" s="111">
        <f>VLOOKUP($A15,Alimentos!$A:$BA,9,FALSE)</f>
        <v>0</v>
      </c>
      <c r="J15" s="111">
        <f>VLOOKUP($A15,Alimentos!$A:$BA,10,FALSE)</f>
        <v>0</v>
      </c>
      <c r="K15" s="111">
        <f>VLOOKUP($A15,Alimentos!$A:$BA,11,FALSE)</f>
        <v>0</v>
      </c>
      <c r="L15" s="111">
        <f>VLOOKUP($A15,Alimentos!$A:$BA,12,FALSE)</f>
        <v>0</v>
      </c>
      <c r="M15" s="111">
        <f>VLOOKUP($A15,Alimentos!$A:$BA,13,FALSE)</f>
        <v>0</v>
      </c>
      <c r="N15" s="111">
        <f>VLOOKUP($A15,Alimentos!$A:$BA,14,FALSE)</f>
        <v>0</v>
      </c>
      <c r="O15" s="90">
        <f>VLOOKUP($A15,Alimentos!$A:$BA,15,FALSE)</f>
        <v>0</v>
      </c>
      <c r="P15" s="111">
        <f>VLOOKUP($A15,Alimentos!$A:$BA,16,FALSE)</f>
        <v>0</v>
      </c>
      <c r="Q15" s="111">
        <f>VLOOKUP($A15,Alimentos!$A:$BA,17,FALSE)</f>
        <v>0</v>
      </c>
      <c r="R15" s="111">
        <f>VLOOKUP($A15,Alimentos!$A:$BA,18,FALSE)</f>
        <v>0</v>
      </c>
      <c r="S15" s="111">
        <f>VLOOKUP($A15,Alimentos!$A:$BA,19,FALSE)</f>
        <v>0</v>
      </c>
      <c r="T15" s="111">
        <f>VLOOKUP($A15,Alimentos!$A:$BA,20,FALSE)</f>
        <v>0</v>
      </c>
      <c r="U15" s="111">
        <f>VLOOKUP($A15,Alimentos!$A:$BA,21,FALSE)</f>
        <v>0</v>
      </c>
      <c r="V15" s="111">
        <f>VLOOKUP($A15,Alimentos!$A:$BA,22,FALSE)</f>
        <v>0</v>
      </c>
      <c r="W15" s="112">
        <f>VLOOKUP($A15,Alimentos!$A:$BA,23,FALSE)</f>
        <v>0</v>
      </c>
      <c r="X15" s="112">
        <f>VLOOKUP($A15,Alimentos!$A:$BA,24,FALSE)</f>
        <v>0</v>
      </c>
      <c r="Y15" s="112">
        <f>VLOOKUP($A15,Alimentos!$A:$BA,25,FALSE)</f>
        <v>0</v>
      </c>
      <c r="Z15" s="112">
        <f>VLOOKUP($A15,Alimentos!$A:$BA,26,FALSE)</f>
        <v>0</v>
      </c>
      <c r="AA15" s="112">
        <f>VLOOKUP($A15,Alimentos!$A:$BA,27,FALSE)</f>
        <v>0</v>
      </c>
      <c r="AB15" s="112">
        <f>VLOOKUP($A15,Alimentos!$A:$BA,28,FALSE)</f>
        <v>0</v>
      </c>
      <c r="AC15" s="112">
        <f>VLOOKUP($A15,Alimentos!$A:$BA,29,FALSE)</f>
        <v>0</v>
      </c>
      <c r="AD15" s="112">
        <f>VLOOKUP($A15,Alimentos!$A:$BA,30,FALSE)</f>
        <v>0</v>
      </c>
      <c r="AE15" s="112">
        <f>VLOOKUP($A15,Alimentos!$A:$BA,31,FALSE)</f>
        <v>0</v>
      </c>
      <c r="AF15" s="113">
        <f>VLOOKUP($A15,Alimentos!$A:$BA,32,FALSE)</f>
        <v>0</v>
      </c>
      <c r="AG15" s="113">
        <f>VLOOKUP($A15,Alimentos!$A:$BA,33,FALSE)</f>
        <v>0</v>
      </c>
      <c r="AH15" s="113">
        <f>VLOOKUP($A15,Alimentos!$A:$BA,34,FALSE)</f>
        <v>0</v>
      </c>
      <c r="AI15" s="113">
        <f>VLOOKUP($A15,Alimentos!$A:$BA,35,FALSE)</f>
        <v>0</v>
      </c>
      <c r="AJ15" s="113">
        <f>VLOOKUP($A15,Alimentos!$A:$BA,36,FALSE)</f>
        <v>0</v>
      </c>
      <c r="AK15" s="113">
        <f>VLOOKUP($A15,Alimentos!$A:$BA,37,FALSE)</f>
        <v>0</v>
      </c>
      <c r="AL15" s="113">
        <f>VLOOKUP($A15,Alimentos!$A:$BA,38,FALSE)</f>
        <v>0</v>
      </c>
      <c r="AM15" s="113">
        <f>VLOOKUP($A15,Alimentos!$A:$BA,39,FALSE)</f>
        <v>0</v>
      </c>
      <c r="AN15" s="113">
        <f>VLOOKUP($A15,Alimentos!$A:$BA,40,FALSE)</f>
        <v>0</v>
      </c>
      <c r="AO15" s="113">
        <f>VLOOKUP($A15,Alimentos!$A:$BA,41,FALSE)</f>
        <v>0</v>
      </c>
      <c r="AP15" s="113">
        <f>VLOOKUP($A15,Alimentos!$A:$BA,42,FALSE)</f>
        <v>0</v>
      </c>
      <c r="AQ15" s="113">
        <f>VLOOKUP($A15,Alimentos!$A:$BA,43,FALSE)</f>
        <v>0</v>
      </c>
      <c r="AR15" s="113">
        <f>VLOOKUP($A15,Alimentos!$A:$BA,44,FALSE)</f>
        <v>0</v>
      </c>
      <c r="AS15" s="113">
        <f>VLOOKUP($A15,Alimentos!$A:$BA,45,FALSE)</f>
        <v>0</v>
      </c>
    </row>
    <row r="16" spans="1:47" x14ac:dyDescent="0.25">
      <c r="A16" s="108" t="s">
        <v>60</v>
      </c>
      <c r="B16" s="109">
        <f>VLOOKUP($A16,Alimentos!$A:$BA,2,FALSE)</f>
        <v>0</v>
      </c>
      <c r="C16" s="114">
        <f>VLOOKUP($A16,Alimentos!$A:$BA,4,FALSE)</f>
        <v>0</v>
      </c>
      <c r="E16" s="111">
        <f>VLOOKUP($A16,Alimentos!$A:$BA,5,FALSE)</f>
        <v>0</v>
      </c>
      <c r="F16" s="111">
        <f>VLOOKUP($A16,Alimentos!$A:$BA,6,FALSE)</f>
        <v>0</v>
      </c>
      <c r="G16" s="111">
        <f>VLOOKUP($A16,Alimentos!$A:$BA,7,FALSE)</f>
        <v>0</v>
      </c>
      <c r="H16" s="111">
        <f>VLOOKUP($A16,Alimentos!$A:$BA,8,FALSE)</f>
        <v>0</v>
      </c>
      <c r="I16" s="111">
        <f>VLOOKUP($A16,Alimentos!$A:$BA,9,FALSE)</f>
        <v>0</v>
      </c>
      <c r="J16" s="111">
        <f>VLOOKUP($A16,Alimentos!$A:$BA,10,FALSE)</f>
        <v>0</v>
      </c>
      <c r="K16" s="111">
        <f>VLOOKUP($A16,Alimentos!$A:$BA,11,FALSE)</f>
        <v>0</v>
      </c>
      <c r="L16" s="111">
        <f>VLOOKUP($A16,Alimentos!$A:$BA,12,FALSE)</f>
        <v>0</v>
      </c>
      <c r="M16" s="111">
        <f>VLOOKUP($A16,Alimentos!$A:$BA,13,FALSE)</f>
        <v>0</v>
      </c>
      <c r="N16" s="111">
        <f>VLOOKUP($A16,Alimentos!$A:$BA,14,FALSE)</f>
        <v>0</v>
      </c>
      <c r="O16" s="90">
        <f>VLOOKUP($A16,Alimentos!$A:$BA,15,FALSE)</f>
        <v>0</v>
      </c>
      <c r="P16" s="111">
        <f>VLOOKUP($A16,Alimentos!$A:$BA,16,FALSE)</f>
        <v>0</v>
      </c>
      <c r="Q16" s="111">
        <f>VLOOKUP($A16,Alimentos!$A:$BA,17,FALSE)</f>
        <v>0</v>
      </c>
      <c r="R16" s="111">
        <f>VLOOKUP($A16,Alimentos!$A:$BA,18,FALSE)</f>
        <v>0</v>
      </c>
      <c r="S16" s="111">
        <f>VLOOKUP($A16,Alimentos!$A:$BA,19,FALSE)</f>
        <v>0</v>
      </c>
      <c r="T16" s="111">
        <f>VLOOKUP($A16,Alimentos!$A:$BA,20,FALSE)</f>
        <v>0</v>
      </c>
      <c r="U16" s="111">
        <f>VLOOKUP($A16,Alimentos!$A:$BA,21,FALSE)</f>
        <v>0</v>
      </c>
      <c r="V16" s="111">
        <f>VLOOKUP($A16,Alimentos!$A:$BA,22,FALSE)</f>
        <v>0</v>
      </c>
      <c r="W16" s="112">
        <f>VLOOKUP($A16,Alimentos!$A:$BA,23,FALSE)</f>
        <v>0</v>
      </c>
      <c r="X16" s="112">
        <f>VLOOKUP($A16,Alimentos!$A:$BA,24,FALSE)</f>
        <v>0</v>
      </c>
      <c r="Y16" s="112">
        <f>VLOOKUP($A16,Alimentos!$A:$BA,25,FALSE)</f>
        <v>0</v>
      </c>
      <c r="Z16" s="112">
        <f>VLOOKUP($A16,Alimentos!$A:$BA,26,FALSE)</f>
        <v>0</v>
      </c>
      <c r="AA16" s="112">
        <f>VLOOKUP($A16,Alimentos!$A:$BA,27,FALSE)</f>
        <v>0</v>
      </c>
      <c r="AB16" s="112">
        <f>VLOOKUP($A16,Alimentos!$A:$BA,28,FALSE)</f>
        <v>0</v>
      </c>
      <c r="AC16" s="112">
        <f>VLOOKUP($A16,Alimentos!$A:$BA,29,FALSE)</f>
        <v>0</v>
      </c>
      <c r="AD16" s="112">
        <f>VLOOKUP($A16,Alimentos!$A:$BA,30,FALSE)</f>
        <v>0</v>
      </c>
      <c r="AE16" s="112">
        <f>VLOOKUP($A16,Alimentos!$A:$BA,31,FALSE)</f>
        <v>0</v>
      </c>
      <c r="AF16" s="113">
        <f>VLOOKUP($A16,Alimentos!$A:$BA,32,FALSE)</f>
        <v>0</v>
      </c>
      <c r="AG16" s="113">
        <f>VLOOKUP($A16,Alimentos!$A:$BA,33,FALSE)</f>
        <v>0</v>
      </c>
      <c r="AH16" s="113">
        <f>VLOOKUP($A16,Alimentos!$A:$BA,34,FALSE)</f>
        <v>0</v>
      </c>
      <c r="AI16" s="113">
        <f>VLOOKUP($A16,Alimentos!$A:$BA,35,FALSE)</f>
        <v>0</v>
      </c>
      <c r="AJ16" s="113">
        <f>VLOOKUP($A16,Alimentos!$A:$BA,36,FALSE)</f>
        <v>0</v>
      </c>
      <c r="AK16" s="113">
        <f>VLOOKUP($A16,Alimentos!$A:$BA,37,FALSE)</f>
        <v>0</v>
      </c>
      <c r="AL16" s="113">
        <f>VLOOKUP($A16,Alimentos!$A:$BA,38,FALSE)</f>
        <v>0</v>
      </c>
      <c r="AM16" s="113">
        <f>VLOOKUP($A16,Alimentos!$A:$BA,39,FALSE)</f>
        <v>0</v>
      </c>
      <c r="AN16" s="113">
        <f>VLOOKUP($A16,Alimentos!$A:$BA,40,FALSE)</f>
        <v>0</v>
      </c>
      <c r="AO16" s="113">
        <f>VLOOKUP($A16,Alimentos!$A:$BA,41,FALSE)</f>
        <v>0</v>
      </c>
      <c r="AP16" s="113">
        <f>VLOOKUP($A16,Alimentos!$A:$BA,42,FALSE)</f>
        <v>0</v>
      </c>
      <c r="AQ16" s="113">
        <f>VLOOKUP($A16,Alimentos!$A:$BA,43,FALSE)</f>
        <v>0</v>
      </c>
      <c r="AR16" s="113">
        <f>VLOOKUP($A16,Alimentos!$A:$BA,44,FALSE)</f>
        <v>0</v>
      </c>
      <c r="AS16" s="113">
        <f>VLOOKUP($A16,Alimentos!$A:$BA,45,FALSE)</f>
        <v>0</v>
      </c>
    </row>
    <row r="17" spans="1:48" x14ac:dyDescent="0.25">
      <c r="A17" s="108" t="s">
        <v>60</v>
      </c>
      <c r="B17" s="109">
        <f>VLOOKUP($A17,Alimentos!$A:$BA,2,FALSE)</f>
        <v>0</v>
      </c>
      <c r="C17" s="114">
        <f>VLOOKUP($A17,Alimentos!$A:$BA,4,FALSE)</f>
        <v>0</v>
      </c>
      <c r="E17" s="111">
        <f>VLOOKUP($A17,Alimentos!$A:$BA,5,FALSE)</f>
        <v>0</v>
      </c>
      <c r="F17" s="111">
        <f>VLOOKUP($A17,Alimentos!$A:$BA,6,FALSE)</f>
        <v>0</v>
      </c>
      <c r="G17" s="111">
        <f>VLOOKUP($A17,Alimentos!$A:$BA,7,FALSE)</f>
        <v>0</v>
      </c>
      <c r="H17" s="111">
        <f>VLOOKUP($A17,Alimentos!$A:$BA,8,FALSE)</f>
        <v>0</v>
      </c>
      <c r="I17" s="111">
        <f>VLOOKUP($A17,Alimentos!$A:$BA,9,FALSE)</f>
        <v>0</v>
      </c>
      <c r="J17" s="111">
        <f>VLOOKUP($A17,Alimentos!$A:$BA,10,FALSE)</f>
        <v>0</v>
      </c>
      <c r="K17" s="111">
        <f>VLOOKUP($A17,Alimentos!$A:$BA,11,FALSE)</f>
        <v>0</v>
      </c>
      <c r="L17" s="111">
        <f>VLOOKUP($A17,Alimentos!$A:$BA,12,FALSE)</f>
        <v>0</v>
      </c>
      <c r="M17" s="111">
        <f>VLOOKUP($A17,Alimentos!$A:$BA,13,FALSE)</f>
        <v>0</v>
      </c>
      <c r="N17" s="111">
        <f>VLOOKUP($A17,Alimentos!$A:$BA,14,FALSE)</f>
        <v>0</v>
      </c>
      <c r="O17" s="90">
        <f>VLOOKUP($A17,Alimentos!$A:$BA,15,FALSE)</f>
        <v>0</v>
      </c>
      <c r="P17" s="111">
        <f>VLOOKUP($A17,Alimentos!$A:$BA,16,FALSE)</f>
        <v>0</v>
      </c>
      <c r="Q17" s="111">
        <f>VLOOKUP($A17,Alimentos!$A:$BA,17,FALSE)</f>
        <v>0</v>
      </c>
      <c r="R17" s="111">
        <f>VLOOKUP($A17,Alimentos!$A:$BA,18,FALSE)</f>
        <v>0</v>
      </c>
      <c r="S17" s="111">
        <f>VLOOKUP($A17,Alimentos!$A:$BA,19,FALSE)</f>
        <v>0</v>
      </c>
      <c r="T17" s="111">
        <f>VLOOKUP($A17,Alimentos!$A:$BA,20,FALSE)</f>
        <v>0</v>
      </c>
      <c r="U17" s="111">
        <f>VLOOKUP($A17,Alimentos!$A:$BA,21,FALSE)</f>
        <v>0</v>
      </c>
      <c r="V17" s="111">
        <f>VLOOKUP($A17,Alimentos!$A:$BA,22,FALSE)</f>
        <v>0</v>
      </c>
      <c r="W17" s="112">
        <f>VLOOKUP($A17,Alimentos!$A:$BA,23,FALSE)</f>
        <v>0</v>
      </c>
      <c r="X17" s="112">
        <f>VLOOKUP($A17,Alimentos!$A:$BA,24,FALSE)</f>
        <v>0</v>
      </c>
      <c r="Y17" s="112">
        <f>VLOOKUP($A17,Alimentos!$A:$BA,25,FALSE)</f>
        <v>0</v>
      </c>
      <c r="Z17" s="112">
        <f>VLOOKUP($A17,Alimentos!$A:$BA,26,FALSE)</f>
        <v>0</v>
      </c>
      <c r="AA17" s="112">
        <f>VLOOKUP($A17,Alimentos!$A:$BA,27,FALSE)</f>
        <v>0</v>
      </c>
      <c r="AB17" s="112">
        <f>VLOOKUP($A17,Alimentos!$A:$BA,28,FALSE)</f>
        <v>0</v>
      </c>
      <c r="AC17" s="112">
        <f>VLOOKUP($A17,Alimentos!$A:$BA,29,FALSE)</f>
        <v>0</v>
      </c>
      <c r="AD17" s="112">
        <f>VLOOKUP($A17,Alimentos!$A:$BA,30,FALSE)</f>
        <v>0</v>
      </c>
      <c r="AE17" s="112">
        <f>VLOOKUP($A17,Alimentos!$A:$BA,31,FALSE)</f>
        <v>0</v>
      </c>
      <c r="AF17" s="113">
        <f>VLOOKUP($A17,Alimentos!$A:$BA,32,FALSE)</f>
        <v>0</v>
      </c>
      <c r="AG17" s="113">
        <f>VLOOKUP($A17,Alimentos!$A:$BA,33,FALSE)</f>
        <v>0</v>
      </c>
      <c r="AH17" s="113">
        <f>VLOOKUP($A17,Alimentos!$A:$BA,34,FALSE)</f>
        <v>0</v>
      </c>
      <c r="AI17" s="113">
        <f>VLOOKUP($A17,Alimentos!$A:$BA,35,FALSE)</f>
        <v>0</v>
      </c>
      <c r="AJ17" s="113">
        <f>VLOOKUP($A17,Alimentos!$A:$BA,36,FALSE)</f>
        <v>0</v>
      </c>
      <c r="AK17" s="113">
        <f>VLOOKUP($A17,Alimentos!$A:$BA,37,FALSE)</f>
        <v>0</v>
      </c>
      <c r="AL17" s="113">
        <f>VLOOKUP($A17,Alimentos!$A:$BA,38,FALSE)</f>
        <v>0</v>
      </c>
      <c r="AM17" s="113">
        <f>VLOOKUP($A17,Alimentos!$A:$BA,39,FALSE)</f>
        <v>0</v>
      </c>
      <c r="AN17" s="113">
        <f>VLOOKUP($A17,Alimentos!$A:$BA,40,FALSE)</f>
        <v>0</v>
      </c>
      <c r="AO17" s="113">
        <f>VLOOKUP($A17,Alimentos!$A:$BA,41,FALSE)</f>
        <v>0</v>
      </c>
      <c r="AP17" s="113">
        <f>VLOOKUP($A17,Alimentos!$A:$BA,42,FALSE)</f>
        <v>0</v>
      </c>
      <c r="AQ17" s="113">
        <f>VLOOKUP($A17,Alimentos!$A:$BA,43,FALSE)</f>
        <v>0</v>
      </c>
      <c r="AR17" s="113">
        <f>VLOOKUP($A17,Alimentos!$A:$BA,44,FALSE)</f>
        <v>0</v>
      </c>
      <c r="AS17" s="113">
        <f>VLOOKUP($A17,Alimentos!$A:$BA,45,FALSE)</f>
        <v>0</v>
      </c>
    </row>
    <row r="18" spans="1:48" x14ac:dyDescent="0.25">
      <c r="A18" s="108" t="s">
        <v>60</v>
      </c>
      <c r="B18" s="109">
        <f>VLOOKUP($A18,Alimentos!$A:$BA,2,FALSE)</f>
        <v>0</v>
      </c>
      <c r="C18" s="114">
        <f>VLOOKUP($A18,Alimentos!$A:$BA,4,FALSE)</f>
        <v>0</v>
      </c>
      <c r="E18" s="111">
        <f>VLOOKUP($A18,Alimentos!$A:$BA,5,FALSE)</f>
        <v>0</v>
      </c>
      <c r="F18" s="111">
        <f>VLOOKUP($A18,Alimentos!$A:$BA,6,FALSE)</f>
        <v>0</v>
      </c>
      <c r="G18" s="111">
        <f>VLOOKUP($A18,Alimentos!$A:$BA,7,FALSE)</f>
        <v>0</v>
      </c>
      <c r="H18" s="111">
        <f>VLOOKUP($A18,Alimentos!$A:$BA,8,FALSE)</f>
        <v>0</v>
      </c>
      <c r="I18" s="111">
        <f>VLOOKUP($A18,Alimentos!$A:$BA,9,FALSE)</f>
        <v>0</v>
      </c>
      <c r="J18" s="111">
        <f>VLOOKUP($A18,Alimentos!$A:$BA,10,FALSE)</f>
        <v>0</v>
      </c>
      <c r="K18" s="111">
        <f>VLOOKUP($A18,Alimentos!$A:$BA,11,FALSE)</f>
        <v>0</v>
      </c>
      <c r="L18" s="111">
        <f>VLOOKUP($A18,Alimentos!$A:$BA,12,FALSE)</f>
        <v>0</v>
      </c>
      <c r="M18" s="111">
        <f>VLOOKUP($A18,Alimentos!$A:$BA,13,FALSE)</f>
        <v>0</v>
      </c>
      <c r="N18" s="111">
        <f>VLOOKUP($A18,Alimentos!$A:$BA,14,FALSE)</f>
        <v>0</v>
      </c>
      <c r="O18" s="90">
        <f>VLOOKUP($A18,Alimentos!$A:$BA,15,FALSE)</f>
        <v>0</v>
      </c>
      <c r="P18" s="111">
        <f>VLOOKUP($A18,Alimentos!$A:$BA,16,FALSE)</f>
        <v>0</v>
      </c>
      <c r="Q18" s="111">
        <f>VLOOKUP($A18,Alimentos!$A:$BA,17,FALSE)</f>
        <v>0</v>
      </c>
      <c r="R18" s="111">
        <f>VLOOKUP($A18,Alimentos!$A:$BA,18,FALSE)</f>
        <v>0</v>
      </c>
      <c r="S18" s="111">
        <f>VLOOKUP($A18,Alimentos!$A:$BA,19,FALSE)</f>
        <v>0</v>
      </c>
      <c r="T18" s="111">
        <f>VLOOKUP($A18,Alimentos!$A:$BA,20,FALSE)</f>
        <v>0</v>
      </c>
      <c r="U18" s="111">
        <f>VLOOKUP($A18,Alimentos!$A:$BA,21,FALSE)</f>
        <v>0</v>
      </c>
      <c r="V18" s="111">
        <f>VLOOKUP($A18,Alimentos!$A:$BA,22,FALSE)</f>
        <v>0</v>
      </c>
      <c r="W18" s="112">
        <f>VLOOKUP($A18,Alimentos!$A:$BA,23,FALSE)</f>
        <v>0</v>
      </c>
      <c r="X18" s="112">
        <f>VLOOKUP($A18,Alimentos!$A:$BA,24,FALSE)</f>
        <v>0</v>
      </c>
      <c r="Y18" s="112">
        <f>VLOOKUP($A18,Alimentos!$A:$BA,25,FALSE)</f>
        <v>0</v>
      </c>
      <c r="Z18" s="112">
        <f>VLOOKUP($A18,Alimentos!$A:$BA,26,FALSE)</f>
        <v>0</v>
      </c>
      <c r="AA18" s="112">
        <f>VLOOKUP($A18,Alimentos!$A:$BA,27,FALSE)</f>
        <v>0</v>
      </c>
      <c r="AB18" s="112">
        <f>VLOOKUP($A18,Alimentos!$A:$BA,28,FALSE)</f>
        <v>0</v>
      </c>
      <c r="AC18" s="112">
        <f>VLOOKUP($A18,Alimentos!$A:$BA,29,FALSE)</f>
        <v>0</v>
      </c>
      <c r="AD18" s="112">
        <f>VLOOKUP($A18,Alimentos!$A:$BA,30,FALSE)</f>
        <v>0</v>
      </c>
      <c r="AE18" s="112">
        <f>VLOOKUP($A18,Alimentos!$A:$BA,31,FALSE)</f>
        <v>0</v>
      </c>
      <c r="AF18" s="113">
        <f>VLOOKUP($A18,Alimentos!$A:$BA,32,FALSE)</f>
        <v>0</v>
      </c>
      <c r="AG18" s="113">
        <f>VLOOKUP($A18,Alimentos!$A:$BA,33,FALSE)</f>
        <v>0</v>
      </c>
      <c r="AH18" s="113">
        <f>VLOOKUP($A18,Alimentos!$A:$BA,34,FALSE)</f>
        <v>0</v>
      </c>
      <c r="AI18" s="113">
        <f>VLOOKUP($A18,Alimentos!$A:$BA,35,FALSE)</f>
        <v>0</v>
      </c>
      <c r="AJ18" s="113">
        <f>VLOOKUP($A18,Alimentos!$A:$BA,36,FALSE)</f>
        <v>0</v>
      </c>
      <c r="AK18" s="113">
        <f>VLOOKUP($A18,Alimentos!$A:$BA,37,FALSE)</f>
        <v>0</v>
      </c>
      <c r="AL18" s="113">
        <f>VLOOKUP($A18,Alimentos!$A:$BA,38,FALSE)</f>
        <v>0</v>
      </c>
      <c r="AM18" s="113">
        <f>VLOOKUP($A18,Alimentos!$A:$BA,39,FALSE)</f>
        <v>0</v>
      </c>
      <c r="AN18" s="113">
        <f>VLOOKUP($A18,Alimentos!$A:$BA,40,FALSE)</f>
        <v>0</v>
      </c>
      <c r="AO18" s="113">
        <f>VLOOKUP($A18,Alimentos!$A:$BA,41,FALSE)</f>
        <v>0</v>
      </c>
      <c r="AP18" s="113">
        <f>VLOOKUP($A18,Alimentos!$A:$BA,42,FALSE)</f>
        <v>0</v>
      </c>
      <c r="AQ18" s="113">
        <f>VLOOKUP($A18,Alimentos!$A:$BA,43,FALSE)</f>
        <v>0</v>
      </c>
      <c r="AR18" s="113">
        <f>VLOOKUP($A18,Alimentos!$A:$BA,44,FALSE)</f>
        <v>0</v>
      </c>
      <c r="AS18" s="113">
        <f>VLOOKUP($A18,Alimentos!$A:$BA,45,FALSE)</f>
        <v>0</v>
      </c>
    </row>
    <row r="19" spans="1:48" x14ac:dyDescent="0.25">
      <c r="A19" s="108" t="s">
        <v>60</v>
      </c>
      <c r="B19" s="109">
        <f>VLOOKUP($A19,Alimentos!$A:$BA,2,FALSE)</f>
        <v>0</v>
      </c>
      <c r="C19" s="114">
        <f>VLOOKUP($A19,Alimentos!$A:$BA,4,FALSE)</f>
        <v>0</v>
      </c>
      <c r="E19" s="111">
        <f>VLOOKUP($A19,Alimentos!$A:$BA,5,FALSE)</f>
        <v>0</v>
      </c>
      <c r="F19" s="111">
        <f>VLOOKUP($A19,Alimentos!$A:$BA,6,FALSE)</f>
        <v>0</v>
      </c>
      <c r="G19" s="111">
        <f>VLOOKUP($A19,Alimentos!$A:$BA,7,FALSE)</f>
        <v>0</v>
      </c>
      <c r="H19" s="111">
        <f>VLOOKUP($A19,Alimentos!$A:$BA,8,FALSE)</f>
        <v>0</v>
      </c>
      <c r="I19" s="111">
        <f>VLOOKUP($A19,Alimentos!$A:$BA,9,FALSE)</f>
        <v>0</v>
      </c>
      <c r="J19" s="111">
        <f>VLOOKUP($A19,Alimentos!$A:$BA,10,FALSE)</f>
        <v>0</v>
      </c>
      <c r="K19" s="111">
        <f>VLOOKUP($A19,Alimentos!$A:$BA,11,FALSE)</f>
        <v>0</v>
      </c>
      <c r="L19" s="111">
        <f>VLOOKUP($A19,Alimentos!$A:$BA,12,FALSE)</f>
        <v>0</v>
      </c>
      <c r="M19" s="111">
        <f>VLOOKUP($A19,Alimentos!$A:$BA,13,FALSE)</f>
        <v>0</v>
      </c>
      <c r="N19" s="111">
        <f>VLOOKUP($A19,Alimentos!$A:$BA,14,FALSE)</f>
        <v>0</v>
      </c>
      <c r="O19" s="90">
        <f>VLOOKUP($A19,Alimentos!$A:$BA,15,FALSE)</f>
        <v>0</v>
      </c>
      <c r="P19" s="111">
        <f>VLOOKUP($A19,Alimentos!$A:$BA,16,FALSE)</f>
        <v>0</v>
      </c>
      <c r="Q19" s="111">
        <f>VLOOKUP($A19,Alimentos!$A:$BA,17,FALSE)</f>
        <v>0</v>
      </c>
      <c r="R19" s="111">
        <f>VLOOKUP($A19,Alimentos!$A:$BA,18,FALSE)</f>
        <v>0</v>
      </c>
      <c r="S19" s="111">
        <f>VLOOKUP($A19,Alimentos!$A:$BA,19,FALSE)</f>
        <v>0</v>
      </c>
      <c r="T19" s="111">
        <f>VLOOKUP($A19,Alimentos!$A:$BA,20,FALSE)</f>
        <v>0</v>
      </c>
      <c r="U19" s="111">
        <f>VLOOKUP($A19,Alimentos!$A:$BA,21,FALSE)</f>
        <v>0</v>
      </c>
      <c r="V19" s="111">
        <f>VLOOKUP($A19,Alimentos!$A:$BA,22,FALSE)</f>
        <v>0</v>
      </c>
      <c r="W19" s="112">
        <f>VLOOKUP($A19,Alimentos!$A:$BA,23,FALSE)</f>
        <v>0</v>
      </c>
      <c r="X19" s="112">
        <f>VLOOKUP($A19,Alimentos!$A:$BA,24,FALSE)</f>
        <v>0</v>
      </c>
      <c r="Y19" s="112">
        <f>VLOOKUP($A19,Alimentos!$A:$BA,25,FALSE)</f>
        <v>0</v>
      </c>
      <c r="Z19" s="112">
        <f>VLOOKUP($A19,Alimentos!$A:$BA,26,FALSE)</f>
        <v>0</v>
      </c>
      <c r="AA19" s="112">
        <f>VLOOKUP($A19,Alimentos!$A:$BA,27,FALSE)</f>
        <v>0</v>
      </c>
      <c r="AB19" s="112">
        <f>VLOOKUP($A19,Alimentos!$A:$BA,28,FALSE)</f>
        <v>0</v>
      </c>
      <c r="AC19" s="112">
        <f>VLOOKUP($A19,Alimentos!$A:$BA,29,FALSE)</f>
        <v>0</v>
      </c>
      <c r="AD19" s="112">
        <f>VLOOKUP($A19,Alimentos!$A:$BA,30,FALSE)</f>
        <v>0</v>
      </c>
      <c r="AE19" s="112">
        <f>VLOOKUP($A19,Alimentos!$A:$BA,31,FALSE)</f>
        <v>0</v>
      </c>
      <c r="AF19" s="113">
        <f>VLOOKUP($A19,Alimentos!$A:$BA,32,FALSE)</f>
        <v>0</v>
      </c>
      <c r="AG19" s="113">
        <f>VLOOKUP($A19,Alimentos!$A:$BA,33,FALSE)</f>
        <v>0</v>
      </c>
      <c r="AH19" s="113">
        <f>VLOOKUP($A19,Alimentos!$A:$BA,34,FALSE)</f>
        <v>0</v>
      </c>
      <c r="AI19" s="113">
        <f>VLOOKUP($A19,Alimentos!$A:$BA,35,FALSE)</f>
        <v>0</v>
      </c>
      <c r="AJ19" s="113">
        <f>VLOOKUP($A19,Alimentos!$A:$BA,36,FALSE)</f>
        <v>0</v>
      </c>
      <c r="AK19" s="113">
        <f>VLOOKUP($A19,Alimentos!$A:$BA,37,FALSE)</f>
        <v>0</v>
      </c>
      <c r="AL19" s="113">
        <f>VLOOKUP($A19,Alimentos!$A:$BA,38,FALSE)</f>
        <v>0</v>
      </c>
      <c r="AM19" s="113">
        <f>VLOOKUP($A19,Alimentos!$A:$BA,39,FALSE)</f>
        <v>0</v>
      </c>
      <c r="AN19" s="113">
        <f>VLOOKUP($A19,Alimentos!$A:$BA,40,FALSE)</f>
        <v>0</v>
      </c>
      <c r="AO19" s="113">
        <f>VLOOKUP($A19,Alimentos!$A:$BA,41,FALSE)</f>
        <v>0</v>
      </c>
      <c r="AP19" s="113">
        <f>VLOOKUP($A19,Alimentos!$A:$BA,42,FALSE)</f>
        <v>0</v>
      </c>
      <c r="AQ19" s="113">
        <f>VLOOKUP($A19,Alimentos!$A:$BA,43,FALSE)</f>
        <v>0</v>
      </c>
      <c r="AR19" s="113">
        <f>VLOOKUP($A19,Alimentos!$A:$BA,44,FALSE)</f>
        <v>0</v>
      </c>
      <c r="AS19" s="113">
        <f>VLOOKUP($A19,Alimentos!$A:$BA,45,FALSE)</f>
        <v>0</v>
      </c>
    </row>
    <row r="20" spans="1:48" x14ac:dyDescent="0.25">
      <c r="A20" s="108" t="s">
        <v>60</v>
      </c>
      <c r="B20" s="109">
        <f>VLOOKUP($A20,Alimentos!$A:$BA,2,FALSE)</f>
        <v>0</v>
      </c>
      <c r="C20" s="114">
        <f>VLOOKUP($A20,Alimentos!$A:$BA,4,FALSE)</f>
        <v>0</v>
      </c>
      <c r="E20" s="111">
        <f>VLOOKUP($A20,Alimentos!$A:$BA,5,FALSE)</f>
        <v>0</v>
      </c>
      <c r="F20" s="111">
        <f>VLOOKUP($A20,Alimentos!$A:$BA,6,FALSE)</f>
        <v>0</v>
      </c>
      <c r="G20" s="111">
        <f>VLOOKUP($A20,Alimentos!$A:$BA,7,FALSE)</f>
        <v>0</v>
      </c>
      <c r="H20" s="111">
        <f>VLOOKUP($A20,Alimentos!$A:$BA,8,FALSE)</f>
        <v>0</v>
      </c>
      <c r="I20" s="111">
        <f>VLOOKUP($A20,Alimentos!$A:$BA,9,FALSE)</f>
        <v>0</v>
      </c>
      <c r="J20" s="111">
        <f>VLOOKUP($A20,Alimentos!$A:$BA,10,FALSE)</f>
        <v>0</v>
      </c>
      <c r="K20" s="111">
        <f>VLOOKUP($A20,Alimentos!$A:$BA,11,FALSE)</f>
        <v>0</v>
      </c>
      <c r="L20" s="111">
        <f>VLOOKUP($A20,Alimentos!$A:$BA,12,FALSE)</f>
        <v>0</v>
      </c>
      <c r="M20" s="111">
        <f>VLOOKUP($A20,Alimentos!$A:$BA,13,FALSE)</f>
        <v>0</v>
      </c>
      <c r="N20" s="111">
        <f>VLOOKUP($A20,Alimentos!$A:$BA,14,FALSE)</f>
        <v>0</v>
      </c>
      <c r="O20" s="90">
        <f>VLOOKUP($A20,Alimentos!$A:$BA,15,FALSE)</f>
        <v>0</v>
      </c>
      <c r="P20" s="111">
        <f>VLOOKUP($A20,Alimentos!$A:$BA,16,FALSE)</f>
        <v>0</v>
      </c>
      <c r="Q20" s="111">
        <f>VLOOKUP($A20,Alimentos!$A:$BA,17,FALSE)</f>
        <v>0</v>
      </c>
      <c r="R20" s="111">
        <f>VLOOKUP($A20,Alimentos!$A:$BA,18,FALSE)</f>
        <v>0</v>
      </c>
      <c r="S20" s="111">
        <f>VLOOKUP($A20,Alimentos!$A:$BA,19,FALSE)</f>
        <v>0</v>
      </c>
      <c r="T20" s="111">
        <f>VLOOKUP($A20,Alimentos!$A:$BA,20,FALSE)</f>
        <v>0</v>
      </c>
      <c r="U20" s="111">
        <f>VLOOKUP($A20,Alimentos!$A:$BA,21,FALSE)</f>
        <v>0</v>
      </c>
      <c r="V20" s="111">
        <f>VLOOKUP($A20,Alimentos!$A:$BA,22,FALSE)</f>
        <v>0</v>
      </c>
      <c r="W20" s="112">
        <f>VLOOKUP($A20,Alimentos!$A:$BA,23,FALSE)</f>
        <v>0</v>
      </c>
      <c r="X20" s="112">
        <f>VLOOKUP($A20,Alimentos!$A:$BA,24,FALSE)</f>
        <v>0</v>
      </c>
      <c r="Y20" s="112">
        <f>VLOOKUP($A20,Alimentos!$A:$BA,25,FALSE)</f>
        <v>0</v>
      </c>
      <c r="Z20" s="112">
        <f>VLOOKUP($A20,Alimentos!$A:$BA,26,FALSE)</f>
        <v>0</v>
      </c>
      <c r="AA20" s="112">
        <f>VLOOKUP($A20,Alimentos!$A:$BA,27,FALSE)</f>
        <v>0</v>
      </c>
      <c r="AB20" s="112">
        <f>VLOOKUP($A20,Alimentos!$A:$BA,28,FALSE)</f>
        <v>0</v>
      </c>
      <c r="AC20" s="112">
        <f>VLOOKUP($A20,Alimentos!$A:$BA,29,FALSE)</f>
        <v>0</v>
      </c>
      <c r="AD20" s="112">
        <f>VLOOKUP($A20,Alimentos!$A:$BA,30,FALSE)</f>
        <v>0</v>
      </c>
      <c r="AE20" s="112">
        <f>VLOOKUP($A20,Alimentos!$A:$BA,31,FALSE)</f>
        <v>0</v>
      </c>
      <c r="AF20" s="113">
        <f>VLOOKUP($A20,Alimentos!$A:$BA,32,FALSE)</f>
        <v>0</v>
      </c>
      <c r="AG20" s="113">
        <f>VLOOKUP($A20,Alimentos!$A:$BA,33,FALSE)</f>
        <v>0</v>
      </c>
      <c r="AH20" s="113">
        <f>VLOOKUP($A20,Alimentos!$A:$BA,34,FALSE)</f>
        <v>0</v>
      </c>
      <c r="AI20" s="113">
        <f>VLOOKUP($A20,Alimentos!$A:$BA,35,FALSE)</f>
        <v>0</v>
      </c>
      <c r="AJ20" s="113">
        <f>VLOOKUP($A20,Alimentos!$A:$BA,36,FALSE)</f>
        <v>0</v>
      </c>
      <c r="AK20" s="113">
        <f>VLOOKUP($A20,Alimentos!$A:$BA,37,FALSE)</f>
        <v>0</v>
      </c>
      <c r="AL20" s="113">
        <f>VLOOKUP($A20,Alimentos!$A:$BA,38,FALSE)</f>
        <v>0</v>
      </c>
      <c r="AM20" s="113">
        <f>VLOOKUP($A20,Alimentos!$A:$BA,39,FALSE)</f>
        <v>0</v>
      </c>
      <c r="AN20" s="113">
        <f>VLOOKUP($A20,Alimentos!$A:$BA,40,FALSE)</f>
        <v>0</v>
      </c>
      <c r="AO20" s="113">
        <f>VLOOKUP($A20,Alimentos!$A:$BA,41,FALSE)</f>
        <v>0</v>
      </c>
      <c r="AP20" s="113">
        <f>VLOOKUP($A20,Alimentos!$A:$BA,42,FALSE)</f>
        <v>0</v>
      </c>
      <c r="AQ20" s="113">
        <f>VLOOKUP($A20,Alimentos!$A:$BA,43,FALSE)</f>
        <v>0</v>
      </c>
      <c r="AR20" s="113">
        <f>VLOOKUP($A20,Alimentos!$A:$BA,44,FALSE)</f>
        <v>0</v>
      </c>
      <c r="AS20" s="113">
        <f>VLOOKUP($A20,Alimentos!$A:$BA,45,FALSE)</f>
        <v>0</v>
      </c>
    </row>
    <row r="21" spans="1:48" ht="17.25" thickBot="1" x14ac:dyDescent="0.3">
      <c r="A21" s="116" t="s">
        <v>60</v>
      </c>
      <c r="B21" s="117">
        <f>VLOOKUP($A21,Alimentos!$A:$BA,2,FALSE)</f>
        <v>0</v>
      </c>
      <c r="C21" s="118">
        <f>VLOOKUP($A21,Alimentos!$A:$BA,4,FALSE)</f>
        <v>0</v>
      </c>
      <c r="D21" s="119"/>
      <c r="E21" s="120">
        <f>VLOOKUP($A21,Alimentos!$A:$BA,5,FALSE)</f>
        <v>0</v>
      </c>
      <c r="F21" s="120">
        <f>VLOOKUP($A21,Alimentos!$A:$BA,6,FALSE)</f>
        <v>0</v>
      </c>
      <c r="G21" s="120">
        <f>VLOOKUP($A21,Alimentos!$A:$BA,7,FALSE)</f>
        <v>0</v>
      </c>
      <c r="H21" s="120">
        <f>VLOOKUP($A21,Alimentos!$A:$BA,8,FALSE)</f>
        <v>0</v>
      </c>
      <c r="I21" s="120">
        <f>VLOOKUP($A21,Alimentos!$A:$BA,9,FALSE)</f>
        <v>0</v>
      </c>
      <c r="J21" s="120">
        <f>VLOOKUP($A21,Alimentos!$A:$BA,10,FALSE)</f>
        <v>0</v>
      </c>
      <c r="K21" s="120">
        <f>VLOOKUP($A21,Alimentos!$A:$BA,11,FALSE)</f>
        <v>0</v>
      </c>
      <c r="L21" s="120">
        <f>VLOOKUP($A21,Alimentos!$A:$BA,12,FALSE)</f>
        <v>0</v>
      </c>
      <c r="M21" s="120">
        <f>VLOOKUP($A21,Alimentos!$A:$BA,13,FALSE)</f>
        <v>0</v>
      </c>
      <c r="N21" s="120">
        <f>VLOOKUP($A21,Alimentos!$A:$BA,14,FALSE)</f>
        <v>0</v>
      </c>
      <c r="O21" s="121">
        <f>VLOOKUP($A21,Alimentos!$A:$BA,15,FALSE)</f>
        <v>0</v>
      </c>
      <c r="P21" s="120">
        <f>VLOOKUP($A21,Alimentos!$A:$BA,16,FALSE)</f>
        <v>0</v>
      </c>
      <c r="Q21" s="120">
        <f>VLOOKUP($A21,Alimentos!$A:$BA,17,FALSE)</f>
        <v>0</v>
      </c>
      <c r="R21" s="120">
        <f>VLOOKUP($A21,Alimentos!$A:$BA,18,FALSE)</f>
        <v>0</v>
      </c>
      <c r="S21" s="120">
        <f>VLOOKUP($A21,Alimentos!$A:$BA,19,FALSE)</f>
        <v>0</v>
      </c>
      <c r="T21" s="120">
        <f>VLOOKUP($A21,Alimentos!$A:$BA,20,FALSE)</f>
        <v>0</v>
      </c>
      <c r="U21" s="120">
        <f>VLOOKUP($A21,Alimentos!$A:$BA,21,FALSE)</f>
        <v>0</v>
      </c>
      <c r="V21" s="120">
        <f>VLOOKUP($A21,Alimentos!$A:$BA,22,FALSE)</f>
        <v>0</v>
      </c>
      <c r="W21" s="122">
        <f>VLOOKUP($A21,Alimentos!$A:$BA,23,FALSE)</f>
        <v>0</v>
      </c>
      <c r="X21" s="122">
        <f>VLOOKUP($A21,Alimentos!$A:$BA,24,FALSE)</f>
        <v>0</v>
      </c>
      <c r="Y21" s="122">
        <f>VLOOKUP($A21,Alimentos!$A:$BA,25,FALSE)</f>
        <v>0</v>
      </c>
      <c r="Z21" s="122">
        <f>VLOOKUP($A21,Alimentos!$A:$BA,26,FALSE)</f>
        <v>0</v>
      </c>
      <c r="AA21" s="122">
        <f>VLOOKUP($A21,Alimentos!$A:$BA,27,FALSE)</f>
        <v>0</v>
      </c>
      <c r="AB21" s="122">
        <f>VLOOKUP($A21,Alimentos!$A:$BA,28,FALSE)</f>
        <v>0</v>
      </c>
      <c r="AC21" s="122">
        <f>VLOOKUP($A21,Alimentos!$A:$BA,29,FALSE)</f>
        <v>0</v>
      </c>
      <c r="AD21" s="122">
        <f>VLOOKUP($A21,Alimentos!$A:$BA,30,FALSE)</f>
        <v>0</v>
      </c>
      <c r="AE21" s="122">
        <f>VLOOKUP($A21,Alimentos!$A:$BA,31,FALSE)</f>
        <v>0</v>
      </c>
      <c r="AF21" s="123">
        <f>VLOOKUP($A21,Alimentos!$A:$BA,32,FALSE)</f>
        <v>0</v>
      </c>
      <c r="AG21" s="123">
        <f>VLOOKUP($A21,Alimentos!$A:$BA,33,FALSE)</f>
        <v>0</v>
      </c>
      <c r="AH21" s="123">
        <f>VLOOKUP($A21,Alimentos!$A:$BA,34,FALSE)</f>
        <v>0</v>
      </c>
      <c r="AI21" s="123">
        <f>VLOOKUP($A21,Alimentos!$A:$BA,35,FALSE)</f>
        <v>0</v>
      </c>
      <c r="AJ21" s="123">
        <f>VLOOKUP($A21,Alimentos!$A:$BA,36,FALSE)</f>
        <v>0</v>
      </c>
      <c r="AK21" s="123">
        <f>VLOOKUP($A21,Alimentos!$A:$BA,37,FALSE)</f>
        <v>0</v>
      </c>
      <c r="AL21" s="123">
        <f>VLOOKUP($A21,Alimentos!$A:$BA,38,FALSE)</f>
        <v>0</v>
      </c>
      <c r="AM21" s="123">
        <f>VLOOKUP($A21,Alimentos!$A:$BA,39,FALSE)</f>
        <v>0</v>
      </c>
      <c r="AN21" s="123">
        <f>VLOOKUP($A21,Alimentos!$A:$BA,40,FALSE)</f>
        <v>0</v>
      </c>
      <c r="AO21" s="123">
        <f>VLOOKUP($A21,Alimentos!$A:$BA,41,FALSE)</f>
        <v>0</v>
      </c>
      <c r="AP21" s="123">
        <f>VLOOKUP($A21,Alimentos!$A:$BA,42,FALSE)</f>
        <v>0</v>
      </c>
      <c r="AQ21" s="123">
        <f>VLOOKUP($A21,Alimentos!$A:$BA,43,FALSE)</f>
        <v>0</v>
      </c>
      <c r="AR21" s="123">
        <f>VLOOKUP($A21,Alimentos!$A:$BA,44,FALSE)</f>
        <v>0</v>
      </c>
      <c r="AS21" s="123">
        <f>VLOOKUP($A21,Alimentos!$A:$BA,45,FALSE)</f>
        <v>0</v>
      </c>
    </row>
    <row r="22" spans="1:48" ht="17.25" thickTop="1" x14ac:dyDescent="0.25">
      <c r="E22" s="82"/>
      <c r="AF22" s="77"/>
      <c r="AG22" s="77"/>
      <c r="AH22" s="77"/>
      <c r="AI22" s="77"/>
    </row>
    <row r="23" spans="1:48" s="98" customFormat="1" x14ac:dyDescent="0.25">
      <c r="A23" s="98" t="s">
        <v>1</v>
      </c>
      <c r="B23" s="85" t="str">
        <f>B4</f>
        <v>R$/Kg MN</v>
      </c>
      <c r="C23" s="85" t="s">
        <v>30</v>
      </c>
      <c r="D23" s="85" t="s">
        <v>3</v>
      </c>
      <c r="E23" s="82" t="s">
        <v>30</v>
      </c>
      <c r="F23" s="85" t="s">
        <v>30</v>
      </c>
      <c r="G23" s="85" t="s">
        <v>30</v>
      </c>
      <c r="H23" s="85" t="s">
        <v>30</v>
      </c>
      <c r="I23" s="85" t="s">
        <v>30</v>
      </c>
      <c r="J23" s="94" t="s">
        <v>30</v>
      </c>
      <c r="K23" s="94" t="s">
        <v>30</v>
      </c>
      <c r="L23" s="94" t="s">
        <v>30</v>
      </c>
      <c r="M23" s="85" t="s">
        <v>30</v>
      </c>
      <c r="N23" s="85" t="s">
        <v>30</v>
      </c>
      <c r="O23" s="94" t="s">
        <v>31</v>
      </c>
      <c r="P23" s="94" t="s">
        <v>30</v>
      </c>
      <c r="Q23" s="94" t="s">
        <v>30</v>
      </c>
      <c r="R23" s="94" t="s">
        <v>30</v>
      </c>
      <c r="S23" s="85" t="s">
        <v>30</v>
      </c>
      <c r="T23" s="85" t="s">
        <v>30</v>
      </c>
      <c r="U23" s="94" t="s">
        <v>30</v>
      </c>
      <c r="V23" s="94" t="s">
        <v>30</v>
      </c>
      <c r="W23" s="85" t="s">
        <v>30</v>
      </c>
      <c r="X23" s="85" t="s">
        <v>30</v>
      </c>
      <c r="Y23" s="85" t="s">
        <v>30</v>
      </c>
      <c r="Z23" s="85" t="s">
        <v>30</v>
      </c>
      <c r="AA23" s="85" t="s">
        <v>30</v>
      </c>
      <c r="AB23" s="85" t="s">
        <v>30</v>
      </c>
      <c r="AC23" s="85" t="s">
        <v>30</v>
      </c>
      <c r="AD23" s="85" t="s">
        <v>30</v>
      </c>
      <c r="AE23" s="85" t="s">
        <v>30</v>
      </c>
      <c r="AF23" s="85" t="s">
        <v>49</v>
      </c>
      <c r="AG23" s="85" t="s">
        <v>49</v>
      </c>
      <c r="AH23" s="85" t="s">
        <v>49</v>
      </c>
      <c r="AI23" s="85" t="s">
        <v>49</v>
      </c>
      <c r="AJ23" s="85" t="s">
        <v>49</v>
      </c>
      <c r="AK23" s="85" t="s">
        <v>49</v>
      </c>
      <c r="AL23" s="85" t="s">
        <v>49</v>
      </c>
      <c r="AM23" s="85" t="s">
        <v>51</v>
      </c>
      <c r="AN23" s="85" t="s">
        <v>51</v>
      </c>
      <c r="AO23" s="85" t="s">
        <v>51</v>
      </c>
      <c r="AP23" s="85" t="s">
        <v>49</v>
      </c>
      <c r="AQ23" s="85" t="s">
        <v>49</v>
      </c>
      <c r="AR23" s="85" t="s">
        <v>49</v>
      </c>
      <c r="AS23" s="85" t="s">
        <v>173</v>
      </c>
    </row>
    <row r="24" spans="1:48" s="98" customFormat="1" ht="17.25" thickBot="1" x14ac:dyDescent="0.3">
      <c r="A24" s="98" t="s">
        <v>5</v>
      </c>
      <c r="B24" s="85" t="s">
        <v>6</v>
      </c>
      <c r="C24" s="85" t="s">
        <v>66</v>
      </c>
      <c r="D24" s="85" t="s">
        <v>7</v>
      </c>
      <c r="E24" s="82" t="s">
        <v>7</v>
      </c>
      <c r="F24" s="85" t="s">
        <v>8</v>
      </c>
      <c r="G24" s="85" t="s">
        <v>9</v>
      </c>
      <c r="H24" s="95" t="s">
        <v>67</v>
      </c>
      <c r="I24" s="85" t="s">
        <v>10</v>
      </c>
      <c r="J24" s="94" t="s">
        <v>11</v>
      </c>
      <c r="K24" s="94" t="s">
        <v>112</v>
      </c>
      <c r="L24" s="94" t="s">
        <v>113</v>
      </c>
      <c r="M24" s="85" t="s">
        <v>12</v>
      </c>
      <c r="N24" s="85" t="s">
        <v>13</v>
      </c>
      <c r="O24" s="95" t="s">
        <v>14</v>
      </c>
      <c r="P24" s="94" t="s">
        <v>15</v>
      </c>
      <c r="Q24" s="94" t="s">
        <v>115</v>
      </c>
      <c r="R24" s="94" t="s">
        <v>114</v>
      </c>
      <c r="S24" s="93" t="s">
        <v>17</v>
      </c>
      <c r="T24" s="93" t="s">
        <v>18</v>
      </c>
      <c r="U24" s="94" t="s">
        <v>99</v>
      </c>
      <c r="V24" s="94" t="s">
        <v>102</v>
      </c>
      <c r="W24" s="96" t="s">
        <v>19</v>
      </c>
      <c r="X24" s="96" t="s">
        <v>20</v>
      </c>
      <c r="Y24" s="96" t="s">
        <v>21</v>
      </c>
      <c r="Z24" s="96" t="s">
        <v>22</v>
      </c>
      <c r="AA24" s="96" t="s">
        <v>23</v>
      </c>
      <c r="AB24" s="96" t="s">
        <v>24</v>
      </c>
      <c r="AC24" s="96" t="s">
        <v>25</v>
      </c>
      <c r="AD24" s="96" t="s">
        <v>26</v>
      </c>
      <c r="AE24" s="96" t="s">
        <v>27</v>
      </c>
      <c r="AF24" s="97" t="s">
        <v>37</v>
      </c>
      <c r="AG24" s="97" t="s">
        <v>38</v>
      </c>
      <c r="AH24" s="97" t="s">
        <v>41</v>
      </c>
      <c r="AI24" s="97" t="s">
        <v>43</v>
      </c>
      <c r="AJ24" s="97" t="s">
        <v>42</v>
      </c>
      <c r="AK24" s="97" t="s">
        <v>40</v>
      </c>
      <c r="AL24" s="97" t="s">
        <v>39</v>
      </c>
      <c r="AM24" s="97" t="s">
        <v>44</v>
      </c>
      <c r="AN24" s="97" t="s">
        <v>45</v>
      </c>
      <c r="AO24" s="97" t="s">
        <v>46</v>
      </c>
      <c r="AP24" s="97" t="s">
        <v>47</v>
      </c>
      <c r="AQ24" s="97" t="s">
        <v>48</v>
      </c>
      <c r="AR24" s="97" t="s">
        <v>170</v>
      </c>
      <c r="AS24" s="97" t="s">
        <v>171</v>
      </c>
    </row>
    <row r="25" spans="1:48" ht="17.25" thickTop="1" x14ac:dyDescent="0.25">
      <c r="A25" s="124" t="str">
        <f>A6</f>
        <v>x</v>
      </c>
      <c r="B25" s="90">
        <f t="shared" ref="B25:B40" si="0">C25*B6</f>
        <v>0</v>
      </c>
      <c r="C25" s="125"/>
      <c r="D25" s="111" t="e">
        <f t="shared" ref="D25:D40" si="1">E25/E$43</f>
        <v>#DIV/0!</v>
      </c>
      <c r="E25" s="90">
        <f t="shared" ref="E25:E40" si="2">C25*E6</f>
        <v>0</v>
      </c>
      <c r="F25" s="109">
        <f t="shared" ref="F25:Q40" si="3">$E25*F6</f>
        <v>0</v>
      </c>
      <c r="G25" s="109">
        <f t="shared" si="3"/>
        <v>0</v>
      </c>
      <c r="H25" s="109">
        <f t="shared" si="3"/>
        <v>0</v>
      </c>
      <c r="I25" s="109">
        <f t="shared" si="3"/>
        <v>0</v>
      </c>
      <c r="J25" s="109">
        <f t="shared" si="3"/>
        <v>0</v>
      </c>
      <c r="K25" s="109">
        <f>IF(AT25="S",((((I6*K6*100)*0.9465)+4.5798)/100)*E25,IF(AT25="F",I6*K6*E25,0))</f>
        <v>0</v>
      </c>
      <c r="L25" s="109">
        <f>IF(AT25="S",((((I6*L6*100)*1.0083)+0.4502)/100)*E25,IF(AT25="F",I6*L6*E25,0))</f>
        <v>0</v>
      </c>
      <c r="M25" s="109">
        <f t="shared" ref="M25:U40" si="4">$E25*M6</f>
        <v>0</v>
      </c>
      <c r="N25" s="109">
        <f t="shared" si="4"/>
        <v>0</v>
      </c>
      <c r="O25" s="90">
        <f t="shared" si="4"/>
        <v>0</v>
      </c>
      <c r="P25" s="109">
        <f t="shared" si="4"/>
        <v>0</v>
      </c>
      <c r="Q25" s="109">
        <f t="shared" si="4"/>
        <v>0</v>
      </c>
      <c r="R25" s="109">
        <f t="shared" si="4"/>
        <v>0</v>
      </c>
      <c r="S25" s="109">
        <f t="shared" si="4"/>
        <v>0</v>
      </c>
      <c r="T25" s="109">
        <f t="shared" si="4"/>
        <v>0</v>
      </c>
      <c r="U25" s="109">
        <f t="shared" si="4"/>
        <v>0</v>
      </c>
      <c r="V25" s="109" t="e">
        <f t="shared" ref="V25:V40" si="5">(V6/(V6+I$56))*U25</f>
        <v>#DIV/0!</v>
      </c>
      <c r="W25" s="109">
        <f t="shared" ref="W25:AS36" si="6">$E25*W6</f>
        <v>0</v>
      </c>
      <c r="X25" s="109">
        <f t="shared" si="6"/>
        <v>0</v>
      </c>
      <c r="Y25" s="109">
        <f t="shared" si="6"/>
        <v>0</v>
      </c>
      <c r="Z25" s="109">
        <f t="shared" si="6"/>
        <v>0</v>
      </c>
      <c r="AA25" s="109">
        <f t="shared" si="6"/>
        <v>0</v>
      </c>
      <c r="AB25" s="109">
        <f t="shared" si="6"/>
        <v>0</v>
      </c>
      <c r="AC25" s="109">
        <f t="shared" si="6"/>
        <v>0</v>
      </c>
      <c r="AD25" s="109">
        <f t="shared" si="6"/>
        <v>0</v>
      </c>
      <c r="AE25" s="109">
        <f t="shared" si="6"/>
        <v>0</v>
      </c>
      <c r="AF25" s="126">
        <f t="shared" si="6"/>
        <v>0</v>
      </c>
      <c r="AG25" s="126">
        <f t="shared" si="6"/>
        <v>0</v>
      </c>
      <c r="AH25" s="126">
        <f t="shared" si="6"/>
        <v>0</v>
      </c>
      <c r="AI25" s="126">
        <f t="shared" si="6"/>
        <v>0</v>
      </c>
      <c r="AJ25" s="126">
        <f t="shared" si="6"/>
        <v>0</v>
      </c>
      <c r="AK25" s="126">
        <f t="shared" si="6"/>
        <v>0</v>
      </c>
      <c r="AL25" s="126">
        <f t="shared" si="6"/>
        <v>0</v>
      </c>
      <c r="AM25" s="126">
        <f t="shared" si="6"/>
        <v>0</v>
      </c>
      <c r="AN25" s="126">
        <f t="shared" si="6"/>
        <v>0</v>
      </c>
      <c r="AO25" s="126">
        <f t="shared" si="6"/>
        <v>0</v>
      </c>
      <c r="AP25" s="126">
        <f t="shared" si="6"/>
        <v>0</v>
      </c>
      <c r="AQ25" s="126">
        <f t="shared" si="6"/>
        <v>0</v>
      </c>
      <c r="AR25" s="126">
        <f t="shared" si="6"/>
        <v>0</v>
      </c>
      <c r="AS25" s="126">
        <f t="shared" si="6"/>
        <v>0</v>
      </c>
      <c r="AT25" s="113">
        <f t="shared" ref="AT25:AT40" si="7">C6</f>
        <v>0</v>
      </c>
      <c r="AU25" s="182" t="e">
        <f>($C25/$C$42)*(K6-L6)</f>
        <v>#DIV/0!</v>
      </c>
      <c r="AV25" s="183" t="e">
        <f>($C25/$C$42)*L6</f>
        <v>#DIV/0!</v>
      </c>
    </row>
    <row r="26" spans="1:48" x14ac:dyDescent="0.25">
      <c r="A26" s="124" t="str">
        <f>A7</f>
        <v>x</v>
      </c>
      <c r="B26" s="90">
        <f t="shared" si="0"/>
        <v>0</v>
      </c>
      <c r="C26" s="127"/>
      <c r="D26" s="111" t="e">
        <f t="shared" si="1"/>
        <v>#DIV/0!</v>
      </c>
      <c r="E26" s="90">
        <f t="shared" si="2"/>
        <v>0</v>
      </c>
      <c r="F26" s="109">
        <f t="shared" si="3"/>
        <v>0</v>
      </c>
      <c r="G26" s="109">
        <f t="shared" si="3"/>
        <v>0</v>
      </c>
      <c r="H26" s="109">
        <f t="shared" si="3"/>
        <v>0</v>
      </c>
      <c r="I26" s="109">
        <f t="shared" si="3"/>
        <v>0</v>
      </c>
      <c r="J26" s="109">
        <f t="shared" si="3"/>
        <v>0</v>
      </c>
      <c r="K26" s="109">
        <f t="shared" ref="K26:K40" si="8">IF(AT26="S",((((I7*K7*100)*0.9465)+4.5798)/100)*E26,IF(AT26="F",I7*K7*E26,0))</f>
        <v>0</v>
      </c>
      <c r="L26" s="109">
        <f t="shared" ref="L26:L40" si="9">IF(AT26="S",((((I7*L7*100)*1.0083)+0.4502)/100)*E26,IF(AT26="F",I7*L7*E26,0))</f>
        <v>0</v>
      </c>
      <c r="M26" s="109">
        <f t="shared" si="4"/>
        <v>0</v>
      </c>
      <c r="N26" s="109">
        <f t="shared" si="4"/>
        <v>0</v>
      </c>
      <c r="O26" s="90">
        <f t="shared" si="4"/>
        <v>0</v>
      </c>
      <c r="P26" s="109">
        <f t="shared" si="4"/>
        <v>0</v>
      </c>
      <c r="Q26" s="109">
        <f t="shared" si="4"/>
        <v>0</v>
      </c>
      <c r="R26" s="109">
        <f t="shared" si="4"/>
        <v>0</v>
      </c>
      <c r="S26" s="109">
        <f t="shared" si="4"/>
        <v>0</v>
      </c>
      <c r="T26" s="109">
        <f t="shared" si="4"/>
        <v>0</v>
      </c>
      <c r="U26" s="109">
        <f t="shared" si="4"/>
        <v>0</v>
      </c>
      <c r="V26" s="109" t="e">
        <f t="shared" si="5"/>
        <v>#DIV/0!</v>
      </c>
      <c r="W26" s="109">
        <f t="shared" si="6"/>
        <v>0</v>
      </c>
      <c r="X26" s="109">
        <f t="shared" si="6"/>
        <v>0</v>
      </c>
      <c r="Y26" s="109">
        <f t="shared" si="6"/>
        <v>0</v>
      </c>
      <c r="Z26" s="109">
        <f t="shared" si="6"/>
        <v>0</v>
      </c>
      <c r="AA26" s="109">
        <f t="shared" si="6"/>
        <v>0</v>
      </c>
      <c r="AB26" s="109">
        <f t="shared" si="6"/>
        <v>0</v>
      </c>
      <c r="AC26" s="109">
        <f t="shared" si="6"/>
        <v>0</v>
      </c>
      <c r="AD26" s="109">
        <f t="shared" si="6"/>
        <v>0</v>
      </c>
      <c r="AE26" s="109">
        <f t="shared" si="6"/>
        <v>0</v>
      </c>
      <c r="AF26" s="126">
        <f t="shared" si="6"/>
        <v>0</v>
      </c>
      <c r="AG26" s="126">
        <f t="shared" si="6"/>
        <v>0</v>
      </c>
      <c r="AH26" s="126">
        <f t="shared" si="6"/>
        <v>0</v>
      </c>
      <c r="AI26" s="126">
        <f t="shared" si="6"/>
        <v>0</v>
      </c>
      <c r="AJ26" s="126">
        <f t="shared" si="6"/>
        <v>0</v>
      </c>
      <c r="AK26" s="126">
        <f t="shared" si="6"/>
        <v>0</v>
      </c>
      <c r="AL26" s="126">
        <f t="shared" si="6"/>
        <v>0</v>
      </c>
      <c r="AM26" s="126">
        <f t="shared" si="6"/>
        <v>0</v>
      </c>
      <c r="AN26" s="126">
        <f t="shared" si="6"/>
        <v>0</v>
      </c>
      <c r="AO26" s="126">
        <f t="shared" si="6"/>
        <v>0</v>
      </c>
      <c r="AP26" s="126">
        <f t="shared" si="6"/>
        <v>0</v>
      </c>
      <c r="AQ26" s="126">
        <f t="shared" si="6"/>
        <v>0</v>
      </c>
      <c r="AR26" s="126">
        <f t="shared" si="6"/>
        <v>0</v>
      </c>
      <c r="AS26" s="126">
        <f t="shared" si="6"/>
        <v>0</v>
      </c>
      <c r="AT26" s="113">
        <f t="shared" si="7"/>
        <v>0</v>
      </c>
      <c r="AU26" s="182" t="e">
        <f t="shared" ref="AU26:AU40" si="10">($C26/$C$42)*(K7-L7)</f>
        <v>#DIV/0!</v>
      </c>
      <c r="AV26" s="183" t="e">
        <f t="shared" ref="AV26:AV40" si="11">($C26/$C$42)*L7</f>
        <v>#DIV/0!</v>
      </c>
    </row>
    <row r="27" spans="1:48" x14ac:dyDescent="0.25">
      <c r="A27" s="124" t="str">
        <f>A8</f>
        <v>x</v>
      </c>
      <c r="B27" s="90">
        <f t="shared" si="0"/>
        <v>0</v>
      </c>
      <c r="C27" s="127"/>
      <c r="D27" s="111" t="e">
        <f t="shared" si="1"/>
        <v>#DIV/0!</v>
      </c>
      <c r="E27" s="90">
        <f t="shared" si="2"/>
        <v>0</v>
      </c>
      <c r="F27" s="109">
        <f t="shared" si="3"/>
        <v>0</v>
      </c>
      <c r="G27" s="109">
        <f t="shared" si="3"/>
        <v>0</v>
      </c>
      <c r="H27" s="109">
        <f t="shared" si="3"/>
        <v>0</v>
      </c>
      <c r="I27" s="109">
        <f t="shared" si="3"/>
        <v>0</v>
      </c>
      <c r="J27" s="109">
        <f t="shared" si="3"/>
        <v>0</v>
      </c>
      <c r="K27" s="109">
        <f t="shared" si="8"/>
        <v>0</v>
      </c>
      <c r="L27" s="109">
        <f t="shared" si="9"/>
        <v>0</v>
      </c>
      <c r="M27" s="109">
        <f t="shared" si="4"/>
        <v>0</v>
      </c>
      <c r="N27" s="109">
        <f t="shared" si="4"/>
        <v>0</v>
      </c>
      <c r="O27" s="90">
        <f t="shared" si="4"/>
        <v>0</v>
      </c>
      <c r="P27" s="109">
        <f t="shared" si="4"/>
        <v>0</v>
      </c>
      <c r="Q27" s="109">
        <f t="shared" si="4"/>
        <v>0</v>
      </c>
      <c r="R27" s="109">
        <f t="shared" si="4"/>
        <v>0</v>
      </c>
      <c r="S27" s="109">
        <f t="shared" si="4"/>
        <v>0</v>
      </c>
      <c r="T27" s="109">
        <f t="shared" si="4"/>
        <v>0</v>
      </c>
      <c r="U27" s="109">
        <f t="shared" si="4"/>
        <v>0</v>
      </c>
      <c r="V27" s="109" t="e">
        <f t="shared" si="5"/>
        <v>#DIV/0!</v>
      </c>
      <c r="W27" s="109">
        <f t="shared" si="6"/>
        <v>0</v>
      </c>
      <c r="X27" s="109">
        <f t="shared" si="6"/>
        <v>0</v>
      </c>
      <c r="Y27" s="109">
        <f t="shared" si="6"/>
        <v>0</v>
      </c>
      <c r="Z27" s="109">
        <f t="shared" si="6"/>
        <v>0</v>
      </c>
      <c r="AA27" s="109">
        <f t="shared" si="6"/>
        <v>0</v>
      </c>
      <c r="AB27" s="109">
        <f t="shared" si="6"/>
        <v>0</v>
      </c>
      <c r="AC27" s="109">
        <f t="shared" si="6"/>
        <v>0</v>
      </c>
      <c r="AD27" s="109">
        <f t="shared" si="6"/>
        <v>0</v>
      </c>
      <c r="AE27" s="109">
        <f t="shared" si="6"/>
        <v>0</v>
      </c>
      <c r="AF27" s="126">
        <f t="shared" si="6"/>
        <v>0</v>
      </c>
      <c r="AG27" s="126">
        <f t="shared" si="6"/>
        <v>0</v>
      </c>
      <c r="AH27" s="126">
        <f t="shared" si="6"/>
        <v>0</v>
      </c>
      <c r="AI27" s="126">
        <f t="shared" si="6"/>
        <v>0</v>
      </c>
      <c r="AJ27" s="126">
        <f t="shared" si="6"/>
        <v>0</v>
      </c>
      <c r="AK27" s="126">
        <f t="shared" si="6"/>
        <v>0</v>
      </c>
      <c r="AL27" s="126">
        <f t="shared" si="6"/>
        <v>0</v>
      </c>
      <c r="AM27" s="126">
        <f t="shared" si="6"/>
        <v>0</v>
      </c>
      <c r="AN27" s="126">
        <f t="shared" si="6"/>
        <v>0</v>
      </c>
      <c r="AO27" s="126">
        <f t="shared" si="6"/>
        <v>0</v>
      </c>
      <c r="AP27" s="126">
        <f t="shared" si="6"/>
        <v>0</v>
      </c>
      <c r="AQ27" s="126">
        <f t="shared" si="6"/>
        <v>0</v>
      </c>
      <c r="AR27" s="126">
        <f t="shared" si="6"/>
        <v>0</v>
      </c>
      <c r="AS27" s="126">
        <f t="shared" si="6"/>
        <v>0</v>
      </c>
      <c r="AT27" s="113">
        <f t="shared" si="7"/>
        <v>0</v>
      </c>
      <c r="AU27" s="182" t="e">
        <f t="shared" si="10"/>
        <v>#DIV/0!</v>
      </c>
      <c r="AV27" s="183" t="e">
        <f t="shared" si="11"/>
        <v>#DIV/0!</v>
      </c>
    </row>
    <row r="28" spans="1:48" x14ac:dyDescent="0.25">
      <c r="A28" s="124" t="str">
        <f>A9</f>
        <v>x</v>
      </c>
      <c r="B28" s="90">
        <f t="shared" si="0"/>
        <v>0</v>
      </c>
      <c r="C28" s="127"/>
      <c r="D28" s="111" t="e">
        <f t="shared" si="1"/>
        <v>#DIV/0!</v>
      </c>
      <c r="E28" s="90">
        <f t="shared" si="2"/>
        <v>0</v>
      </c>
      <c r="F28" s="109">
        <f t="shared" si="3"/>
        <v>0</v>
      </c>
      <c r="G28" s="109">
        <f t="shared" si="3"/>
        <v>0</v>
      </c>
      <c r="H28" s="109">
        <f t="shared" si="3"/>
        <v>0</v>
      </c>
      <c r="I28" s="109">
        <f t="shared" si="3"/>
        <v>0</v>
      </c>
      <c r="J28" s="109">
        <f t="shared" si="3"/>
        <v>0</v>
      </c>
      <c r="K28" s="109">
        <f t="shared" si="8"/>
        <v>0</v>
      </c>
      <c r="L28" s="109">
        <f t="shared" si="9"/>
        <v>0</v>
      </c>
      <c r="M28" s="109">
        <f t="shared" si="4"/>
        <v>0</v>
      </c>
      <c r="N28" s="109">
        <f t="shared" si="4"/>
        <v>0</v>
      </c>
      <c r="O28" s="90">
        <f t="shared" si="4"/>
        <v>0</v>
      </c>
      <c r="P28" s="109">
        <f t="shared" si="4"/>
        <v>0</v>
      </c>
      <c r="Q28" s="109">
        <f t="shared" si="4"/>
        <v>0</v>
      </c>
      <c r="R28" s="109">
        <f t="shared" si="4"/>
        <v>0</v>
      </c>
      <c r="S28" s="109">
        <f t="shared" si="4"/>
        <v>0</v>
      </c>
      <c r="T28" s="109">
        <f t="shared" si="4"/>
        <v>0</v>
      </c>
      <c r="U28" s="109">
        <f t="shared" si="4"/>
        <v>0</v>
      </c>
      <c r="V28" s="109" t="e">
        <f t="shared" si="5"/>
        <v>#DIV/0!</v>
      </c>
      <c r="W28" s="109">
        <f t="shared" si="6"/>
        <v>0</v>
      </c>
      <c r="X28" s="109">
        <f t="shared" si="6"/>
        <v>0</v>
      </c>
      <c r="Y28" s="109">
        <f t="shared" si="6"/>
        <v>0</v>
      </c>
      <c r="Z28" s="109">
        <f t="shared" si="6"/>
        <v>0</v>
      </c>
      <c r="AA28" s="109">
        <f t="shared" si="6"/>
        <v>0</v>
      </c>
      <c r="AB28" s="109">
        <f t="shared" si="6"/>
        <v>0</v>
      </c>
      <c r="AC28" s="109">
        <f t="shared" si="6"/>
        <v>0</v>
      </c>
      <c r="AD28" s="109">
        <f t="shared" si="6"/>
        <v>0</v>
      </c>
      <c r="AE28" s="109">
        <f t="shared" si="6"/>
        <v>0</v>
      </c>
      <c r="AF28" s="126">
        <f t="shared" si="6"/>
        <v>0</v>
      </c>
      <c r="AG28" s="126">
        <f t="shared" si="6"/>
        <v>0</v>
      </c>
      <c r="AH28" s="126">
        <f t="shared" si="6"/>
        <v>0</v>
      </c>
      <c r="AI28" s="126">
        <f t="shared" si="6"/>
        <v>0</v>
      </c>
      <c r="AJ28" s="126">
        <f t="shared" si="6"/>
        <v>0</v>
      </c>
      <c r="AK28" s="126">
        <f t="shared" si="6"/>
        <v>0</v>
      </c>
      <c r="AL28" s="126">
        <f t="shared" si="6"/>
        <v>0</v>
      </c>
      <c r="AM28" s="126">
        <f t="shared" si="6"/>
        <v>0</v>
      </c>
      <c r="AN28" s="126">
        <f t="shared" si="6"/>
        <v>0</v>
      </c>
      <c r="AO28" s="126">
        <f t="shared" si="6"/>
        <v>0</v>
      </c>
      <c r="AP28" s="126">
        <f t="shared" si="6"/>
        <v>0</v>
      </c>
      <c r="AQ28" s="126">
        <f t="shared" si="6"/>
        <v>0</v>
      </c>
      <c r="AR28" s="126">
        <f t="shared" si="6"/>
        <v>0</v>
      </c>
      <c r="AS28" s="126">
        <f t="shared" si="6"/>
        <v>0</v>
      </c>
      <c r="AT28" s="113">
        <f t="shared" si="7"/>
        <v>0</v>
      </c>
      <c r="AU28" s="182" t="e">
        <f t="shared" si="10"/>
        <v>#DIV/0!</v>
      </c>
      <c r="AV28" s="183" t="e">
        <f t="shared" si="11"/>
        <v>#DIV/0!</v>
      </c>
    </row>
    <row r="29" spans="1:48" x14ac:dyDescent="0.25">
      <c r="A29" s="124" t="str">
        <f>A10</f>
        <v>x</v>
      </c>
      <c r="B29" s="90">
        <f t="shared" si="0"/>
        <v>0</v>
      </c>
      <c r="C29" s="127"/>
      <c r="D29" s="111" t="e">
        <f t="shared" si="1"/>
        <v>#DIV/0!</v>
      </c>
      <c r="E29" s="90">
        <f t="shared" si="2"/>
        <v>0</v>
      </c>
      <c r="F29" s="109">
        <f t="shared" si="3"/>
        <v>0</v>
      </c>
      <c r="G29" s="109">
        <f t="shared" si="3"/>
        <v>0</v>
      </c>
      <c r="H29" s="109">
        <f t="shared" si="3"/>
        <v>0</v>
      </c>
      <c r="I29" s="109">
        <f t="shared" si="3"/>
        <v>0</v>
      </c>
      <c r="J29" s="109">
        <f t="shared" si="3"/>
        <v>0</v>
      </c>
      <c r="K29" s="109">
        <f t="shared" si="8"/>
        <v>0</v>
      </c>
      <c r="L29" s="109">
        <f t="shared" si="9"/>
        <v>0</v>
      </c>
      <c r="M29" s="109">
        <f t="shared" si="4"/>
        <v>0</v>
      </c>
      <c r="N29" s="109">
        <f t="shared" si="4"/>
        <v>0</v>
      </c>
      <c r="O29" s="90">
        <f t="shared" si="4"/>
        <v>0</v>
      </c>
      <c r="P29" s="109">
        <f t="shared" si="4"/>
        <v>0</v>
      </c>
      <c r="Q29" s="109">
        <f t="shared" si="4"/>
        <v>0</v>
      </c>
      <c r="R29" s="109">
        <f t="shared" si="4"/>
        <v>0</v>
      </c>
      <c r="S29" s="109">
        <f t="shared" si="4"/>
        <v>0</v>
      </c>
      <c r="T29" s="109">
        <f t="shared" si="4"/>
        <v>0</v>
      </c>
      <c r="U29" s="109">
        <f t="shared" si="4"/>
        <v>0</v>
      </c>
      <c r="V29" s="109" t="e">
        <f t="shared" si="5"/>
        <v>#DIV/0!</v>
      </c>
      <c r="W29" s="109">
        <f t="shared" si="6"/>
        <v>0</v>
      </c>
      <c r="X29" s="109">
        <f t="shared" si="6"/>
        <v>0</v>
      </c>
      <c r="Y29" s="109">
        <f t="shared" si="6"/>
        <v>0</v>
      </c>
      <c r="Z29" s="109">
        <f t="shared" si="6"/>
        <v>0</v>
      </c>
      <c r="AA29" s="109">
        <f t="shared" si="6"/>
        <v>0</v>
      </c>
      <c r="AB29" s="109">
        <f t="shared" si="6"/>
        <v>0</v>
      </c>
      <c r="AC29" s="109">
        <f t="shared" si="6"/>
        <v>0</v>
      </c>
      <c r="AD29" s="109">
        <f t="shared" si="6"/>
        <v>0</v>
      </c>
      <c r="AE29" s="109">
        <f t="shared" si="6"/>
        <v>0</v>
      </c>
      <c r="AF29" s="126">
        <f t="shared" si="6"/>
        <v>0</v>
      </c>
      <c r="AG29" s="126">
        <f t="shared" si="6"/>
        <v>0</v>
      </c>
      <c r="AH29" s="126">
        <f t="shared" si="6"/>
        <v>0</v>
      </c>
      <c r="AI29" s="126">
        <f t="shared" si="6"/>
        <v>0</v>
      </c>
      <c r="AJ29" s="126">
        <f t="shared" si="6"/>
        <v>0</v>
      </c>
      <c r="AK29" s="126">
        <f t="shared" si="6"/>
        <v>0</v>
      </c>
      <c r="AL29" s="126">
        <f t="shared" si="6"/>
        <v>0</v>
      </c>
      <c r="AM29" s="126">
        <f t="shared" si="6"/>
        <v>0</v>
      </c>
      <c r="AN29" s="126">
        <f t="shared" si="6"/>
        <v>0</v>
      </c>
      <c r="AO29" s="126">
        <f t="shared" si="6"/>
        <v>0</v>
      </c>
      <c r="AP29" s="126">
        <f t="shared" si="6"/>
        <v>0</v>
      </c>
      <c r="AQ29" s="126">
        <f t="shared" si="6"/>
        <v>0</v>
      </c>
      <c r="AR29" s="126">
        <f t="shared" si="6"/>
        <v>0</v>
      </c>
      <c r="AS29" s="126">
        <f t="shared" si="6"/>
        <v>0</v>
      </c>
      <c r="AT29" s="113">
        <f t="shared" si="7"/>
        <v>0</v>
      </c>
      <c r="AU29" s="182" t="e">
        <f t="shared" si="10"/>
        <v>#DIV/0!</v>
      </c>
      <c r="AV29" s="183" t="e">
        <f t="shared" si="11"/>
        <v>#DIV/0!</v>
      </c>
    </row>
    <row r="30" spans="1:48" x14ac:dyDescent="0.25">
      <c r="A30" s="124" t="str">
        <f t="shared" ref="A30:A40" si="12">A11</f>
        <v>x</v>
      </c>
      <c r="B30" s="90">
        <f t="shared" si="0"/>
        <v>0</v>
      </c>
      <c r="C30" s="127"/>
      <c r="D30" s="111" t="e">
        <f t="shared" si="1"/>
        <v>#DIV/0!</v>
      </c>
      <c r="E30" s="90">
        <f t="shared" si="2"/>
        <v>0</v>
      </c>
      <c r="F30" s="109">
        <f t="shared" si="3"/>
        <v>0</v>
      </c>
      <c r="G30" s="109">
        <f t="shared" si="3"/>
        <v>0</v>
      </c>
      <c r="H30" s="109">
        <f t="shared" si="3"/>
        <v>0</v>
      </c>
      <c r="I30" s="109">
        <f t="shared" si="3"/>
        <v>0</v>
      </c>
      <c r="J30" s="109">
        <f t="shared" si="3"/>
        <v>0</v>
      </c>
      <c r="K30" s="109">
        <f t="shared" si="8"/>
        <v>0</v>
      </c>
      <c r="L30" s="109">
        <f t="shared" si="9"/>
        <v>0</v>
      </c>
      <c r="M30" s="109">
        <f t="shared" si="4"/>
        <v>0</v>
      </c>
      <c r="N30" s="109">
        <f t="shared" si="4"/>
        <v>0</v>
      </c>
      <c r="O30" s="90">
        <f t="shared" si="4"/>
        <v>0</v>
      </c>
      <c r="P30" s="109">
        <f t="shared" si="4"/>
        <v>0</v>
      </c>
      <c r="Q30" s="109">
        <f t="shared" si="4"/>
        <v>0</v>
      </c>
      <c r="R30" s="109">
        <f t="shared" si="4"/>
        <v>0</v>
      </c>
      <c r="S30" s="109">
        <f t="shared" si="4"/>
        <v>0</v>
      </c>
      <c r="T30" s="109">
        <f t="shared" si="4"/>
        <v>0</v>
      </c>
      <c r="U30" s="109">
        <f t="shared" si="4"/>
        <v>0</v>
      </c>
      <c r="V30" s="109" t="e">
        <f t="shared" si="5"/>
        <v>#DIV/0!</v>
      </c>
      <c r="W30" s="109">
        <f t="shared" si="6"/>
        <v>0</v>
      </c>
      <c r="X30" s="109">
        <f t="shared" si="6"/>
        <v>0</v>
      </c>
      <c r="Y30" s="109">
        <f t="shared" si="6"/>
        <v>0</v>
      </c>
      <c r="Z30" s="109">
        <f t="shared" si="6"/>
        <v>0</v>
      </c>
      <c r="AA30" s="109">
        <f t="shared" si="6"/>
        <v>0</v>
      </c>
      <c r="AB30" s="109">
        <f t="shared" si="6"/>
        <v>0</v>
      </c>
      <c r="AC30" s="109">
        <f t="shared" si="6"/>
        <v>0</v>
      </c>
      <c r="AD30" s="109">
        <f t="shared" si="6"/>
        <v>0</v>
      </c>
      <c r="AE30" s="109">
        <f t="shared" si="6"/>
        <v>0</v>
      </c>
      <c r="AF30" s="126">
        <f t="shared" si="6"/>
        <v>0</v>
      </c>
      <c r="AG30" s="126">
        <f t="shared" si="6"/>
        <v>0</v>
      </c>
      <c r="AH30" s="126">
        <f t="shared" si="6"/>
        <v>0</v>
      </c>
      <c r="AI30" s="126">
        <f t="shared" si="6"/>
        <v>0</v>
      </c>
      <c r="AJ30" s="126">
        <f t="shared" si="6"/>
        <v>0</v>
      </c>
      <c r="AK30" s="126">
        <f t="shared" si="6"/>
        <v>0</v>
      </c>
      <c r="AL30" s="126">
        <f t="shared" si="6"/>
        <v>0</v>
      </c>
      <c r="AM30" s="126">
        <f t="shared" si="6"/>
        <v>0</v>
      </c>
      <c r="AN30" s="126">
        <f t="shared" si="6"/>
        <v>0</v>
      </c>
      <c r="AO30" s="126">
        <f t="shared" si="6"/>
        <v>0</v>
      </c>
      <c r="AP30" s="126">
        <f t="shared" si="6"/>
        <v>0</v>
      </c>
      <c r="AQ30" s="126">
        <f t="shared" si="6"/>
        <v>0</v>
      </c>
      <c r="AR30" s="126">
        <f t="shared" si="6"/>
        <v>0</v>
      </c>
      <c r="AS30" s="126">
        <f t="shared" si="6"/>
        <v>0</v>
      </c>
      <c r="AT30" s="113">
        <f t="shared" si="7"/>
        <v>0</v>
      </c>
      <c r="AU30" s="182" t="e">
        <f t="shared" si="10"/>
        <v>#DIV/0!</v>
      </c>
      <c r="AV30" s="183" t="e">
        <f t="shared" si="11"/>
        <v>#DIV/0!</v>
      </c>
    </row>
    <row r="31" spans="1:48" x14ac:dyDescent="0.25">
      <c r="A31" s="124" t="str">
        <f t="shared" si="12"/>
        <v>x</v>
      </c>
      <c r="B31" s="90">
        <f t="shared" si="0"/>
        <v>0</v>
      </c>
      <c r="C31" s="127"/>
      <c r="D31" s="111" t="e">
        <f t="shared" si="1"/>
        <v>#DIV/0!</v>
      </c>
      <c r="E31" s="90">
        <f t="shared" si="2"/>
        <v>0</v>
      </c>
      <c r="F31" s="109">
        <f t="shared" si="3"/>
        <v>0</v>
      </c>
      <c r="G31" s="109">
        <f t="shared" si="3"/>
        <v>0</v>
      </c>
      <c r="H31" s="109">
        <f t="shared" si="3"/>
        <v>0</v>
      </c>
      <c r="I31" s="109">
        <f t="shared" si="3"/>
        <v>0</v>
      </c>
      <c r="J31" s="109">
        <f t="shared" si="3"/>
        <v>0</v>
      </c>
      <c r="K31" s="109">
        <f t="shared" si="8"/>
        <v>0</v>
      </c>
      <c r="L31" s="109">
        <f t="shared" si="9"/>
        <v>0</v>
      </c>
      <c r="M31" s="109">
        <f t="shared" si="4"/>
        <v>0</v>
      </c>
      <c r="N31" s="109">
        <f t="shared" si="4"/>
        <v>0</v>
      </c>
      <c r="O31" s="90">
        <f t="shared" si="4"/>
        <v>0</v>
      </c>
      <c r="P31" s="109">
        <f t="shared" si="4"/>
        <v>0</v>
      </c>
      <c r="Q31" s="109">
        <f t="shared" si="4"/>
        <v>0</v>
      </c>
      <c r="R31" s="109">
        <f t="shared" si="4"/>
        <v>0</v>
      </c>
      <c r="S31" s="109">
        <f t="shared" si="4"/>
        <v>0</v>
      </c>
      <c r="T31" s="109">
        <f t="shared" si="4"/>
        <v>0</v>
      </c>
      <c r="U31" s="109">
        <f t="shared" si="4"/>
        <v>0</v>
      </c>
      <c r="V31" s="109" t="e">
        <f t="shared" si="5"/>
        <v>#DIV/0!</v>
      </c>
      <c r="W31" s="109">
        <f t="shared" si="6"/>
        <v>0</v>
      </c>
      <c r="X31" s="109">
        <f t="shared" si="6"/>
        <v>0</v>
      </c>
      <c r="Y31" s="109">
        <f t="shared" si="6"/>
        <v>0</v>
      </c>
      <c r="Z31" s="109">
        <f t="shared" si="6"/>
        <v>0</v>
      </c>
      <c r="AA31" s="109">
        <f t="shared" si="6"/>
        <v>0</v>
      </c>
      <c r="AB31" s="109">
        <f t="shared" si="6"/>
        <v>0</v>
      </c>
      <c r="AC31" s="109">
        <f t="shared" si="6"/>
        <v>0</v>
      </c>
      <c r="AD31" s="109">
        <f t="shared" si="6"/>
        <v>0</v>
      </c>
      <c r="AE31" s="109">
        <f t="shared" si="6"/>
        <v>0</v>
      </c>
      <c r="AF31" s="126">
        <f t="shared" si="6"/>
        <v>0</v>
      </c>
      <c r="AG31" s="126">
        <f t="shared" si="6"/>
        <v>0</v>
      </c>
      <c r="AH31" s="126">
        <f t="shared" si="6"/>
        <v>0</v>
      </c>
      <c r="AI31" s="126">
        <f t="shared" si="6"/>
        <v>0</v>
      </c>
      <c r="AJ31" s="126">
        <f t="shared" si="6"/>
        <v>0</v>
      </c>
      <c r="AK31" s="126">
        <f t="shared" si="6"/>
        <v>0</v>
      </c>
      <c r="AL31" s="126">
        <f t="shared" si="6"/>
        <v>0</v>
      </c>
      <c r="AM31" s="126">
        <f t="shared" si="6"/>
        <v>0</v>
      </c>
      <c r="AN31" s="126">
        <f t="shared" si="6"/>
        <v>0</v>
      </c>
      <c r="AO31" s="126">
        <f t="shared" si="6"/>
        <v>0</v>
      </c>
      <c r="AP31" s="126">
        <f t="shared" si="6"/>
        <v>0</v>
      </c>
      <c r="AQ31" s="126">
        <f t="shared" si="6"/>
        <v>0</v>
      </c>
      <c r="AR31" s="126">
        <f t="shared" si="6"/>
        <v>0</v>
      </c>
      <c r="AS31" s="126">
        <f t="shared" si="6"/>
        <v>0</v>
      </c>
      <c r="AT31" s="113">
        <f t="shared" si="7"/>
        <v>0</v>
      </c>
      <c r="AU31" s="182" t="e">
        <f t="shared" si="10"/>
        <v>#DIV/0!</v>
      </c>
      <c r="AV31" s="183" t="e">
        <f t="shared" si="11"/>
        <v>#DIV/0!</v>
      </c>
    </row>
    <row r="32" spans="1:48" x14ac:dyDescent="0.25">
      <c r="A32" s="124" t="str">
        <f t="shared" si="12"/>
        <v>x</v>
      </c>
      <c r="B32" s="90">
        <f t="shared" si="0"/>
        <v>0</v>
      </c>
      <c r="C32" s="127"/>
      <c r="D32" s="111" t="e">
        <f t="shared" si="1"/>
        <v>#DIV/0!</v>
      </c>
      <c r="E32" s="90">
        <f t="shared" si="2"/>
        <v>0</v>
      </c>
      <c r="F32" s="109">
        <f t="shared" si="3"/>
        <v>0</v>
      </c>
      <c r="G32" s="109">
        <f t="shared" si="3"/>
        <v>0</v>
      </c>
      <c r="H32" s="109">
        <f t="shared" si="3"/>
        <v>0</v>
      </c>
      <c r="I32" s="109">
        <f t="shared" si="3"/>
        <v>0</v>
      </c>
      <c r="J32" s="109">
        <f t="shared" si="3"/>
        <v>0</v>
      </c>
      <c r="K32" s="109">
        <f t="shared" si="8"/>
        <v>0</v>
      </c>
      <c r="L32" s="109">
        <f t="shared" si="9"/>
        <v>0</v>
      </c>
      <c r="M32" s="109">
        <f t="shared" si="4"/>
        <v>0</v>
      </c>
      <c r="N32" s="109">
        <f t="shared" si="4"/>
        <v>0</v>
      </c>
      <c r="O32" s="90">
        <f t="shared" si="4"/>
        <v>0</v>
      </c>
      <c r="P32" s="109">
        <f t="shared" si="4"/>
        <v>0</v>
      </c>
      <c r="Q32" s="109">
        <f t="shared" si="4"/>
        <v>0</v>
      </c>
      <c r="R32" s="109">
        <f t="shared" si="4"/>
        <v>0</v>
      </c>
      <c r="S32" s="109">
        <f t="shared" si="4"/>
        <v>0</v>
      </c>
      <c r="T32" s="109">
        <f t="shared" si="4"/>
        <v>0</v>
      </c>
      <c r="U32" s="109">
        <f t="shared" si="4"/>
        <v>0</v>
      </c>
      <c r="V32" s="109" t="e">
        <f t="shared" si="5"/>
        <v>#DIV/0!</v>
      </c>
      <c r="W32" s="109">
        <f t="shared" si="6"/>
        <v>0</v>
      </c>
      <c r="X32" s="109">
        <f t="shared" si="6"/>
        <v>0</v>
      </c>
      <c r="Y32" s="109">
        <f t="shared" si="6"/>
        <v>0</v>
      </c>
      <c r="Z32" s="109">
        <f t="shared" si="6"/>
        <v>0</v>
      </c>
      <c r="AA32" s="109">
        <f t="shared" si="6"/>
        <v>0</v>
      </c>
      <c r="AB32" s="109">
        <f t="shared" si="6"/>
        <v>0</v>
      </c>
      <c r="AC32" s="109">
        <f t="shared" si="6"/>
        <v>0</v>
      </c>
      <c r="AD32" s="109">
        <f t="shared" si="6"/>
        <v>0</v>
      </c>
      <c r="AE32" s="109">
        <f t="shared" si="6"/>
        <v>0</v>
      </c>
      <c r="AF32" s="126">
        <f t="shared" si="6"/>
        <v>0</v>
      </c>
      <c r="AG32" s="126">
        <f t="shared" si="6"/>
        <v>0</v>
      </c>
      <c r="AH32" s="126">
        <f t="shared" si="6"/>
        <v>0</v>
      </c>
      <c r="AI32" s="126">
        <f t="shared" si="6"/>
        <v>0</v>
      </c>
      <c r="AJ32" s="126">
        <f t="shared" si="6"/>
        <v>0</v>
      </c>
      <c r="AK32" s="126">
        <f t="shared" si="6"/>
        <v>0</v>
      </c>
      <c r="AL32" s="126">
        <f t="shared" si="6"/>
        <v>0</v>
      </c>
      <c r="AM32" s="128">
        <f t="shared" si="6"/>
        <v>0</v>
      </c>
      <c r="AN32" s="128">
        <f t="shared" si="6"/>
        <v>0</v>
      </c>
      <c r="AO32" s="128">
        <f t="shared" si="6"/>
        <v>0</v>
      </c>
      <c r="AP32" s="126">
        <f t="shared" si="6"/>
        <v>0</v>
      </c>
      <c r="AQ32" s="126">
        <f t="shared" si="6"/>
        <v>0</v>
      </c>
      <c r="AR32" s="126">
        <f t="shared" si="6"/>
        <v>0</v>
      </c>
      <c r="AS32" s="126">
        <f t="shared" si="6"/>
        <v>0</v>
      </c>
      <c r="AT32" s="113">
        <f t="shared" si="7"/>
        <v>0</v>
      </c>
      <c r="AU32" s="182" t="e">
        <f t="shared" si="10"/>
        <v>#DIV/0!</v>
      </c>
      <c r="AV32" s="183" t="e">
        <f t="shared" si="11"/>
        <v>#DIV/0!</v>
      </c>
    </row>
    <row r="33" spans="1:48" x14ac:dyDescent="0.25">
      <c r="A33" s="124" t="str">
        <f t="shared" si="12"/>
        <v>x</v>
      </c>
      <c r="B33" s="90">
        <f t="shared" si="0"/>
        <v>0</v>
      </c>
      <c r="C33" s="127"/>
      <c r="D33" s="111" t="e">
        <f t="shared" si="1"/>
        <v>#DIV/0!</v>
      </c>
      <c r="E33" s="90">
        <f t="shared" si="2"/>
        <v>0</v>
      </c>
      <c r="F33" s="109">
        <f t="shared" si="3"/>
        <v>0</v>
      </c>
      <c r="G33" s="109">
        <f t="shared" si="3"/>
        <v>0</v>
      </c>
      <c r="H33" s="109">
        <f t="shared" si="3"/>
        <v>0</v>
      </c>
      <c r="I33" s="109">
        <f t="shared" si="3"/>
        <v>0</v>
      </c>
      <c r="J33" s="109">
        <f t="shared" si="3"/>
        <v>0</v>
      </c>
      <c r="K33" s="109">
        <f t="shared" si="8"/>
        <v>0</v>
      </c>
      <c r="L33" s="109">
        <f t="shared" si="9"/>
        <v>0</v>
      </c>
      <c r="M33" s="109">
        <f t="shared" si="3"/>
        <v>0</v>
      </c>
      <c r="N33" s="109">
        <f t="shared" si="3"/>
        <v>0</v>
      </c>
      <c r="O33" s="90">
        <f t="shared" si="3"/>
        <v>0</v>
      </c>
      <c r="P33" s="109">
        <f t="shared" si="3"/>
        <v>0</v>
      </c>
      <c r="Q33" s="109">
        <f t="shared" si="3"/>
        <v>0</v>
      </c>
      <c r="R33" s="109">
        <f t="shared" si="4"/>
        <v>0</v>
      </c>
      <c r="S33" s="109">
        <f t="shared" si="4"/>
        <v>0</v>
      </c>
      <c r="T33" s="109">
        <f t="shared" si="4"/>
        <v>0</v>
      </c>
      <c r="U33" s="109">
        <f t="shared" si="4"/>
        <v>0</v>
      </c>
      <c r="V33" s="109" t="e">
        <f t="shared" si="5"/>
        <v>#DIV/0!</v>
      </c>
      <c r="W33" s="109">
        <f t="shared" si="6"/>
        <v>0</v>
      </c>
      <c r="X33" s="109">
        <f t="shared" si="6"/>
        <v>0</v>
      </c>
      <c r="Y33" s="109">
        <f t="shared" si="6"/>
        <v>0</v>
      </c>
      <c r="Z33" s="109">
        <f t="shared" si="6"/>
        <v>0</v>
      </c>
      <c r="AA33" s="109">
        <f t="shared" si="6"/>
        <v>0</v>
      </c>
      <c r="AB33" s="109">
        <f t="shared" si="6"/>
        <v>0</v>
      </c>
      <c r="AC33" s="109">
        <f t="shared" si="6"/>
        <v>0</v>
      </c>
      <c r="AD33" s="109">
        <f t="shared" si="6"/>
        <v>0</v>
      </c>
      <c r="AE33" s="109">
        <f t="shared" si="6"/>
        <v>0</v>
      </c>
      <c r="AF33" s="126">
        <f t="shared" si="6"/>
        <v>0</v>
      </c>
      <c r="AG33" s="126">
        <f t="shared" si="6"/>
        <v>0</v>
      </c>
      <c r="AH33" s="126">
        <f t="shared" si="6"/>
        <v>0</v>
      </c>
      <c r="AI33" s="126">
        <f t="shared" si="6"/>
        <v>0</v>
      </c>
      <c r="AJ33" s="126">
        <f t="shared" si="6"/>
        <v>0</v>
      </c>
      <c r="AK33" s="126">
        <f t="shared" si="6"/>
        <v>0</v>
      </c>
      <c r="AL33" s="126">
        <f t="shared" si="6"/>
        <v>0</v>
      </c>
      <c r="AM33" s="126">
        <f t="shared" si="6"/>
        <v>0</v>
      </c>
      <c r="AN33" s="126">
        <f t="shared" si="6"/>
        <v>0</v>
      </c>
      <c r="AO33" s="126">
        <f t="shared" si="6"/>
        <v>0</v>
      </c>
      <c r="AP33" s="126">
        <f t="shared" si="6"/>
        <v>0</v>
      </c>
      <c r="AQ33" s="126">
        <f t="shared" si="6"/>
        <v>0</v>
      </c>
      <c r="AR33" s="126">
        <f t="shared" si="6"/>
        <v>0</v>
      </c>
      <c r="AS33" s="126">
        <f t="shared" si="6"/>
        <v>0</v>
      </c>
      <c r="AT33" s="113">
        <f t="shared" si="7"/>
        <v>0</v>
      </c>
      <c r="AU33" s="182" t="e">
        <f t="shared" si="10"/>
        <v>#DIV/0!</v>
      </c>
      <c r="AV33" s="183" t="e">
        <f t="shared" si="11"/>
        <v>#DIV/0!</v>
      </c>
    </row>
    <row r="34" spans="1:48" x14ac:dyDescent="0.25">
      <c r="A34" s="124" t="str">
        <f t="shared" si="12"/>
        <v>x</v>
      </c>
      <c r="B34" s="90">
        <f t="shared" si="0"/>
        <v>0</v>
      </c>
      <c r="C34" s="127"/>
      <c r="D34" s="111" t="e">
        <f t="shared" si="1"/>
        <v>#DIV/0!</v>
      </c>
      <c r="E34" s="90">
        <f t="shared" si="2"/>
        <v>0</v>
      </c>
      <c r="F34" s="109">
        <f t="shared" si="3"/>
        <v>0</v>
      </c>
      <c r="G34" s="109">
        <f t="shared" si="3"/>
        <v>0</v>
      </c>
      <c r="H34" s="109">
        <f t="shared" si="3"/>
        <v>0</v>
      </c>
      <c r="I34" s="109">
        <f t="shared" si="3"/>
        <v>0</v>
      </c>
      <c r="J34" s="109">
        <f t="shared" si="3"/>
        <v>0</v>
      </c>
      <c r="K34" s="109">
        <f t="shared" si="8"/>
        <v>0</v>
      </c>
      <c r="L34" s="109">
        <f t="shared" si="9"/>
        <v>0</v>
      </c>
      <c r="M34" s="109">
        <f t="shared" si="3"/>
        <v>0</v>
      </c>
      <c r="N34" s="109">
        <f t="shared" si="3"/>
        <v>0</v>
      </c>
      <c r="O34" s="90">
        <f t="shared" si="3"/>
        <v>0</v>
      </c>
      <c r="P34" s="109">
        <f t="shared" si="3"/>
        <v>0</v>
      </c>
      <c r="Q34" s="109">
        <f t="shared" si="3"/>
        <v>0</v>
      </c>
      <c r="R34" s="109">
        <f t="shared" si="4"/>
        <v>0</v>
      </c>
      <c r="S34" s="109">
        <f t="shared" si="4"/>
        <v>0</v>
      </c>
      <c r="T34" s="109">
        <f t="shared" si="4"/>
        <v>0</v>
      </c>
      <c r="U34" s="109">
        <f t="shared" si="4"/>
        <v>0</v>
      </c>
      <c r="V34" s="109" t="e">
        <f t="shared" si="5"/>
        <v>#DIV/0!</v>
      </c>
      <c r="W34" s="109">
        <f t="shared" si="6"/>
        <v>0</v>
      </c>
      <c r="X34" s="109">
        <f t="shared" si="6"/>
        <v>0</v>
      </c>
      <c r="Y34" s="109">
        <f t="shared" si="6"/>
        <v>0</v>
      </c>
      <c r="Z34" s="109">
        <f t="shared" si="6"/>
        <v>0</v>
      </c>
      <c r="AA34" s="109">
        <f t="shared" si="6"/>
        <v>0</v>
      </c>
      <c r="AB34" s="109">
        <f t="shared" si="6"/>
        <v>0</v>
      </c>
      <c r="AC34" s="109">
        <f t="shared" si="6"/>
        <v>0</v>
      </c>
      <c r="AD34" s="109">
        <f t="shared" si="6"/>
        <v>0</v>
      </c>
      <c r="AE34" s="109">
        <f t="shared" si="6"/>
        <v>0</v>
      </c>
      <c r="AF34" s="126">
        <f t="shared" si="6"/>
        <v>0</v>
      </c>
      <c r="AG34" s="126">
        <f t="shared" si="6"/>
        <v>0</v>
      </c>
      <c r="AH34" s="126">
        <f t="shared" si="6"/>
        <v>0</v>
      </c>
      <c r="AI34" s="126">
        <f t="shared" si="6"/>
        <v>0</v>
      </c>
      <c r="AJ34" s="126">
        <f t="shared" si="6"/>
        <v>0</v>
      </c>
      <c r="AK34" s="126">
        <f t="shared" si="6"/>
        <v>0</v>
      </c>
      <c r="AL34" s="126">
        <f t="shared" si="6"/>
        <v>0</v>
      </c>
      <c r="AM34" s="126">
        <f t="shared" si="6"/>
        <v>0</v>
      </c>
      <c r="AN34" s="126">
        <f t="shared" si="6"/>
        <v>0</v>
      </c>
      <c r="AO34" s="126">
        <f t="shared" si="6"/>
        <v>0</v>
      </c>
      <c r="AP34" s="126">
        <f t="shared" si="6"/>
        <v>0</v>
      </c>
      <c r="AQ34" s="126">
        <f t="shared" si="6"/>
        <v>0</v>
      </c>
      <c r="AR34" s="126">
        <f t="shared" si="6"/>
        <v>0</v>
      </c>
      <c r="AS34" s="126">
        <f t="shared" si="6"/>
        <v>0</v>
      </c>
      <c r="AT34" s="113">
        <f t="shared" si="7"/>
        <v>0</v>
      </c>
      <c r="AU34" s="182" t="e">
        <f t="shared" si="10"/>
        <v>#DIV/0!</v>
      </c>
      <c r="AV34" s="183" t="e">
        <f t="shared" si="11"/>
        <v>#DIV/0!</v>
      </c>
    </row>
    <row r="35" spans="1:48" x14ac:dyDescent="0.25">
      <c r="A35" s="124" t="str">
        <f t="shared" si="12"/>
        <v>x</v>
      </c>
      <c r="B35" s="90">
        <f t="shared" si="0"/>
        <v>0</v>
      </c>
      <c r="C35" s="127"/>
      <c r="D35" s="111" t="e">
        <f t="shared" si="1"/>
        <v>#DIV/0!</v>
      </c>
      <c r="E35" s="90">
        <f t="shared" si="2"/>
        <v>0</v>
      </c>
      <c r="F35" s="109">
        <f t="shared" si="3"/>
        <v>0</v>
      </c>
      <c r="G35" s="109">
        <f t="shared" si="3"/>
        <v>0</v>
      </c>
      <c r="H35" s="109">
        <f t="shared" si="3"/>
        <v>0</v>
      </c>
      <c r="I35" s="109">
        <f t="shared" si="3"/>
        <v>0</v>
      </c>
      <c r="J35" s="109">
        <f t="shared" si="3"/>
        <v>0</v>
      </c>
      <c r="K35" s="109">
        <f t="shared" si="8"/>
        <v>0</v>
      </c>
      <c r="L35" s="109">
        <f t="shared" si="9"/>
        <v>0</v>
      </c>
      <c r="M35" s="109">
        <f t="shared" si="3"/>
        <v>0</v>
      </c>
      <c r="N35" s="109">
        <f t="shared" si="3"/>
        <v>0</v>
      </c>
      <c r="O35" s="90">
        <f t="shared" si="3"/>
        <v>0</v>
      </c>
      <c r="P35" s="109">
        <f t="shared" si="3"/>
        <v>0</v>
      </c>
      <c r="Q35" s="109">
        <f t="shared" si="3"/>
        <v>0</v>
      </c>
      <c r="R35" s="109">
        <f t="shared" si="4"/>
        <v>0</v>
      </c>
      <c r="S35" s="109">
        <f t="shared" si="4"/>
        <v>0</v>
      </c>
      <c r="T35" s="109">
        <f t="shared" si="4"/>
        <v>0</v>
      </c>
      <c r="U35" s="109">
        <f t="shared" si="4"/>
        <v>0</v>
      </c>
      <c r="V35" s="109" t="e">
        <f t="shared" si="5"/>
        <v>#DIV/0!</v>
      </c>
      <c r="W35" s="109">
        <f t="shared" si="6"/>
        <v>0</v>
      </c>
      <c r="X35" s="109">
        <f t="shared" si="6"/>
        <v>0</v>
      </c>
      <c r="Y35" s="109">
        <f t="shared" si="6"/>
        <v>0</v>
      </c>
      <c r="Z35" s="109">
        <f t="shared" si="6"/>
        <v>0</v>
      </c>
      <c r="AA35" s="109">
        <f t="shared" si="6"/>
        <v>0</v>
      </c>
      <c r="AB35" s="109">
        <f t="shared" si="6"/>
        <v>0</v>
      </c>
      <c r="AC35" s="109">
        <f t="shared" si="6"/>
        <v>0</v>
      </c>
      <c r="AD35" s="109">
        <f t="shared" si="6"/>
        <v>0</v>
      </c>
      <c r="AE35" s="109">
        <f t="shared" si="6"/>
        <v>0</v>
      </c>
      <c r="AF35" s="126">
        <f t="shared" si="6"/>
        <v>0</v>
      </c>
      <c r="AG35" s="126">
        <f t="shared" si="6"/>
        <v>0</v>
      </c>
      <c r="AH35" s="126">
        <f t="shared" si="6"/>
        <v>0</v>
      </c>
      <c r="AI35" s="126">
        <f t="shared" si="6"/>
        <v>0</v>
      </c>
      <c r="AJ35" s="126">
        <f t="shared" si="6"/>
        <v>0</v>
      </c>
      <c r="AK35" s="126">
        <f t="shared" si="6"/>
        <v>0</v>
      </c>
      <c r="AL35" s="126">
        <f t="shared" si="6"/>
        <v>0</v>
      </c>
      <c r="AM35" s="126">
        <f t="shared" si="6"/>
        <v>0</v>
      </c>
      <c r="AN35" s="126">
        <f t="shared" si="6"/>
        <v>0</v>
      </c>
      <c r="AO35" s="126">
        <f t="shared" si="6"/>
        <v>0</v>
      </c>
      <c r="AP35" s="126">
        <f t="shared" si="6"/>
        <v>0</v>
      </c>
      <c r="AQ35" s="126">
        <f t="shared" si="6"/>
        <v>0</v>
      </c>
      <c r="AR35" s="126">
        <f t="shared" si="6"/>
        <v>0</v>
      </c>
      <c r="AS35" s="126">
        <f t="shared" si="6"/>
        <v>0</v>
      </c>
      <c r="AT35" s="113">
        <f t="shared" si="7"/>
        <v>0</v>
      </c>
      <c r="AU35" s="182" t="e">
        <f t="shared" si="10"/>
        <v>#DIV/0!</v>
      </c>
      <c r="AV35" s="183" t="e">
        <f t="shared" si="11"/>
        <v>#DIV/0!</v>
      </c>
    </row>
    <row r="36" spans="1:48" x14ac:dyDescent="0.25">
      <c r="A36" s="124" t="str">
        <f>A17</f>
        <v>x</v>
      </c>
      <c r="B36" s="90">
        <f t="shared" si="0"/>
        <v>0</v>
      </c>
      <c r="C36" s="127"/>
      <c r="D36" s="111" t="e">
        <f t="shared" si="1"/>
        <v>#DIV/0!</v>
      </c>
      <c r="E36" s="90">
        <f t="shared" si="2"/>
        <v>0</v>
      </c>
      <c r="F36" s="109">
        <f t="shared" si="3"/>
        <v>0</v>
      </c>
      <c r="G36" s="109">
        <f t="shared" si="3"/>
        <v>0</v>
      </c>
      <c r="H36" s="109">
        <f t="shared" si="3"/>
        <v>0</v>
      </c>
      <c r="I36" s="109">
        <f t="shared" si="3"/>
        <v>0</v>
      </c>
      <c r="J36" s="109">
        <f t="shared" si="3"/>
        <v>0</v>
      </c>
      <c r="K36" s="109">
        <f t="shared" si="8"/>
        <v>0</v>
      </c>
      <c r="L36" s="109">
        <f t="shared" si="9"/>
        <v>0</v>
      </c>
      <c r="M36" s="109">
        <f t="shared" si="3"/>
        <v>0</v>
      </c>
      <c r="N36" s="109">
        <f t="shared" si="3"/>
        <v>0</v>
      </c>
      <c r="O36" s="90">
        <f t="shared" si="3"/>
        <v>0</v>
      </c>
      <c r="P36" s="109">
        <f t="shared" si="3"/>
        <v>0</v>
      </c>
      <c r="Q36" s="109">
        <f t="shared" si="3"/>
        <v>0</v>
      </c>
      <c r="R36" s="109">
        <f t="shared" si="4"/>
        <v>0</v>
      </c>
      <c r="S36" s="109">
        <f t="shared" si="4"/>
        <v>0</v>
      </c>
      <c r="T36" s="109">
        <f t="shared" si="4"/>
        <v>0</v>
      </c>
      <c r="U36" s="109">
        <f t="shared" si="4"/>
        <v>0</v>
      </c>
      <c r="V36" s="109" t="e">
        <f t="shared" si="5"/>
        <v>#DIV/0!</v>
      </c>
      <c r="W36" s="109">
        <f t="shared" si="6"/>
        <v>0</v>
      </c>
      <c r="X36" s="109">
        <f t="shared" si="6"/>
        <v>0</v>
      </c>
      <c r="Y36" s="109">
        <f t="shared" ref="Y36:AS36" si="13">$E36*Y17</f>
        <v>0</v>
      </c>
      <c r="Z36" s="109">
        <f t="shared" si="13"/>
        <v>0</v>
      </c>
      <c r="AA36" s="109">
        <f t="shared" si="13"/>
        <v>0</v>
      </c>
      <c r="AB36" s="109">
        <f t="shared" si="13"/>
        <v>0</v>
      </c>
      <c r="AC36" s="109">
        <f t="shared" si="13"/>
        <v>0</v>
      </c>
      <c r="AD36" s="109">
        <f t="shared" si="13"/>
        <v>0</v>
      </c>
      <c r="AE36" s="109">
        <f t="shared" si="13"/>
        <v>0</v>
      </c>
      <c r="AF36" s="126">
        <f t="shared" si="13"/>
        <v>0</v>
      </c>
      <c r="AG36" s="126">
        <f t="shared" si="13"/>
        <v>0</v>
      </c>
      <c r="AH36" s="126">
        <f t="shared" si="13"/>
        <v>0</v>
      </c>
      <c r="AI36" s="126">
        <f t="shared" si="13"/>
        <v>0</v>
      </c>
      <c r="AJ36" s="126">
        <f t="shared" si="13"/>
        <v>0</v>
      </c>
      <c r="AK36" s="126">
        <f t="shared" si="13"/>
        <v>0</v>
      </c>
      <c r="AL36" s="126">
        <f t="shared" si="13"/>
        <v>0</v>
      </c>
      <c r="AM36" s="126">
        <f t="shared" si="13"/>
        <v>0</v>
      </c>
      <c r="AN36" s="126">
        <f t="shared" si="13"/>
        <v>0</v>
      </c>
      <c r="AO36" s="126">
        <f t="shared" si="13"/>
        <v>0</v>
      </c>
      <c r="AP36" s="126">
        <f t="shared" si="13"/>
        <v>0</v>
      </c>
      <c r="AQ36" s="126">
        <f t="shared" si="13"/>
        <v>0</v>
      </c>
      <c r="AR36" s="126">
        <f t="shared" si="13"/>
        <v>0</v>
      </c>
      <c r="AS36" s="126">
        <f t="shared" si="13"/>
        <v>0</v>
      </c>
      <c r="AT36" s="113">
        <f t="shared" si="7"/>
        <v>0</v>
      </c>
      <c r="AU36" s="182" t="e">
        <f t="shared" si="10"/>
        <v>#DIV/0!</v>
      </c>
      <c r="AV36" s="183" t="e">
        <f t="shared" si="11"/>
        <v>#DIV/0!</v>
      </c>
    </row>
    <row r="37" spans="1:48" x14ac:dyDescent="0.25">
      <c r="A37" s="124" t="str">
        <f t="shared" si="12"/>
        <v>x</v>
      </c>
      <c r="B37" s="90">
        <f t="shared" si="0"/>
        <v>0</v>
      </c>
      <c r="C37" s="127"/>
      <c r="D37" s="111" t="e">
        <f t="shared" si="1"/>
        <v>#DIV/0!</v>
      </c>
      <c r="E37" s="90">
        <f t="shared" si="2"/>
        <v>0</v>
      </c>
      <c r="F37" s="109">
        <f t="shared" si="3"/>
        <v>0</v>
      </c>
      <c r="G37" s="109">
        <f t="shared" si="3"/>
        <v>0</v>
      </c>
      <c r="H37" s="109">
        <f t="shared" si="3"/>
        <v>0</v>
      </c>
      <c r="I37" s="109">
        <f t="shared" si="3"/>
        <v>0</v>
      </c>
      <c r="J37" s="109">
        <f t="shared" si="3"/>
        <v>0</v>
      </c>
      <c r="K37" s="109">
        <f t="shared" si="8"/>
        <v>0</v>
      </c>
      <c r="L37" s="109">
        <f t="shared" si="9"/>
        <v>0</v>
      </c>
      <c r="M37" s="109">
        <f t="shared" si="3"/>
        <v>0</v>
      </c>
      <c r="N37" s="109">
        <f t="shared" si="3"/>
        <v>0</v>
      </c>
      <c r="O37" s="90">
        <f t="shared" si="3"/>
        <v>0</v>
      </c>
      <c r="P37" s="109">
        <f t="shared" si="3"/>
        <v>0</v>
      </c>
      <c r="Q37" s="109">
        <f t="shared" si="3"/>
        <v>0</v>
      </c>
      <c r="R37" s="109">
        <f t="shared" si="4"/>
        <v>0</v>
      </c>
      <c r="S37" s="109">
        <f t="shared" si="4"/>
        <v>0</v>
      </c>
      <c r="T37" s="109">
        <f t="shared" si="4"/>
        <v>0</v>
      </c>
      <c r="U37" s="109">
        <f t="shared" si="4"/>
        <v>0</v>
      </c>
      <c r="V37" s="109" t="e">
        <f t="shared" si="5"/>
        <v>#DIV/0!</v>
      </c>
      <c r="W37" s="109">
        <f t="shared" ref="W37:AS40" si="14">$E37*W18</f>
        <v>0</v>
      </c>
      <c r="X37" s="109">
        <f t="shared" si="14"/>
        <v>0</v>
      </c>
      <c r="Y37" s="109">
        <f t="shared" si="14"/>
        <v>0</v>
      </c>
      <c r="Z37" s="109">
        <f t="shared" si="14"/>
        <v>0</v>
      </c>
      <c r="AA37" s="109">
        <f t="shared" si="14"/>
        <v>0</v>
      </c>
      <c r="AB37" s="109">
        <f t="shared" si="14"/>
        <v>0</v>
      </c>
      <c r="AC37" s="109">
        <f t="shared" si="14"/>
        <v>0</v>
      </c>
      <c r="AD37" s="109">
        <f t="shared" si="14"/>
        <v>0</v>
      </c>
      <c r="AE37" s="109">
        <f t="shared" si="14"/>
        <v>0</v>
      </c>
      <c r="AF37" s="126">
        <f t="shared" si="14"/>
        <v>0</v>
      </c>
      <c r="AG37" s="126">
        <f t="shared" si="14"/>
        <v>0</v>
      </c>
      <c r="AH37" s="126">
        <f t="shared" si="14"/>
        <v>0</v>
      </c>
      <c r="AI37" s="126">
        <f t="shared" si="14"/>
        <v>0</v>
      </c>
      <c r="AJ37" s="126">
        <f t="shared" si="14"/>
        <v>0</v>
      </c>
      <c r="AK37" s="126">
        <f t="shared" si="14"/>
        <v>0</v>
      </c>
      <c r="AL37" s="126">
        <f t="shared" si="14"/>
        <v>0</v>
      </c>
      <c r="AM37" s="126">
        <f t="shared" si="14"/>
        <v>0</v>
      </c>
      <c r="AN37" s="126">
        <f t="shared" si="14"/>
        <v>0</v>
      </c>
      <c r="AO37" s="126">
        <f t="shared" si="14"/>
        <v>0</v>
      </c>
      <c r="AP37" s="126">
        <f t="shared" si="14"/>
        <v>0</v>
      </c>
      <c r="AQ37" s="126">
        <f t="shared" si="14"/>
        <v>0</v>
      </c>
      <c r="AR37" s="126">
        <f t="shared" si="14"/>
        <v>0</v>
      </c>
      <c r="AS37" s="126">
        <f t="shared" si="14"/>
        <v>0</v>
      </c>
      <c r="AT37" s="113">
        <f t="shared" si="7"/>
        <v>0</v>
      </c>
      <c r="AU37" s="182" t="e">
        <f t="shared" si="10"/>
        <v>#DIV/0!</v>
      </c>
      <c r="AV37" s="183" t="e">
        <f t="shared" si="11"/>
        <v>#DIV/0!</v>
      </c>
    </row>
    <row r="38" spans="1:48" x14ac:dyDescent="0.25">
      <c r="A38" s="124" t="str">
        <f t="shared" si="12"/>
        <v>x</v>
      </c>
      <c r="B38" s="90">
        <f t="shared" si="0"/>
        <v>0</v>
      </c>
      <c r="C38" s="127"/>
      <c r="D38" s="111" t="e">
        <f t="shared" si="1"/>
        <v>#DIV/0!</v>
      </c>
      <c r="E38" s="90">
        <f t="shared" si="2"/>
        <v>0</v>
      </c>
      <c r="F38" s="109">
        <f t="shared" si="3"/>
        <v>0</v>
      </c>
      <c r="G38" s="109">
        <f t="shared" si="3"/>
        <v>0</v>
      </c>
      <c r="H38" s="109">
        <f t="shared" si="3"/>
        <v>0</v>
      </c>
      <c r="I38" s="109">
        <f t="shared" si="3"/>
        <v>0</v>
      </c>
      <c r="J38" s="109">
        <f t="shared" si="3"/>
        <v>0</v>
      </c>
      <c r="K38" s="109">
        <f t="shared" si="8"/>
        <v>0</v>
      </c>
      <c r="L38" s="109">
        <f t="shared" si="9"/>
        <v>0</v>
      </c>
      <c r="M38" s="109">
        <f t="shared" si="3"/>
        <v>0</v>
      </c>
      <c r="N38" s="109">
        <f t="shared" si="3"/>
        <v>0</v>
      </c>
      <c r="O38" s="90">
        <f t="shared" si="3"/>
        <v>0</v>
      </c>
      <c r="P38" s="109">
        <f t="shared" si="3"/>
        <v>0</v>
      </c>
      <c r="Q38" s="109">
        <f t="shared" si="3"/>
        <v>0</v>
      </c>
      <c r="R38" s="109">
        <f t="shared" si="4"/>
        <v>0</v>
      </c>
      <c r="S38" s="109">
        <f t="shared" si="4"/>
        <v>0</v>
      </c>
      <c r="T38" s="109">
        <f t="shared" si="4"/>
        <v>0</v>
      </c>
      <c r="U38" s="109">
        <f t="shared" si="4"/>
        <v>0</v>
      </c>
      <c r="V38" s="109" t="e">
        <f t="shared" si="5"/>
        <v>#DIV/0!</v>
      </c>
      <c r="W38" s="109">
        <f t="shared" si="14"/>
        <v>0</v>
      </c>
      <c r="X38" s="109">
        <f t="shared" si="14"/>
        <v>0</v>
      </c>
      <c r="Y38" s="109">
        <f t="shared" si="14"/>
        <v>0</v>
      </c>
      <c r="Z38" s="109">
        <f t="shared" si="14"/>
        <v>0</v>
      </c>
      <c r="AA38" s="109">
        <f t="shared" si="14"/>
        <v>0</v>
      </c>
      <c r="AB38" s="109">
        <f t="shared" si="14"/>
        <v>0</v>
      </c>
      <c r="AC38" s="109">
        <f t="shared" si="14"/>
        <v>0</v>
      </c>
      <c r="AD38" s="109">
        <f t="shared" si="14"/>
        <v>0</v>
      </c>
      <c r="AE38" s="109">
        <f t="shared" si="14"/>
        <v>0</v>
      </c>
      <c r="AF38" s="126">
        <f t="shared" si="14"/>
        <v>0</v>
      </c>
      <c r="AG38" s="126">
        <f t="shared" si="14"/>
        <v>0</v>
      </c>
      <c r="AH38" s="126">
        <f t="shared" si="14"/>
        <v>0</v>
      </c>
      <c r="AI38" s="126">
        <f t="shared" si="14"/>
        <v>0</v>
      </c>
      <c r="AJ38" s="126">
        <f t="shared" si="14"/>
        <v>0</v>
      </c>
      <c r="AK38" s="126">
        <f t="shared" si="14"/>
        <v>0</v>
      </c>
      <c r="AL38" s="126">
        <f t="shared" si="14"/>
        <v>0</v>
      </c>
      <c r="AM38" s="126">
        <f t="shared" si="14"/>
        <v>0</v>
      </c>
      <c r="AN38" s="126">
        <f t="shared" si="14"/>
        <v>0</v>
      </c>
      <c r="AO38" s="126">
        <f t="shared" si="14"/>
        <v>0</v>
      </c>
      <c r="AP38" s="126">
        <f t="shared" si="14"/>
        <v>0</v>
      </c>
      <c r="AQ38" s="126">
        <f t="shared" si="14"/>
        <v>0</v>
      </c>
      <c r="AR38" s="126">
        <f t="shared" si="14"/>
        <v>0</v>
      </c>
      <c r="AS38" s="126">
        <f t="shared" si="14"/>
        <v>0</v>
      </c>
      <c r="AT38" s="113">
        <f t="shared" si="7"/>
        <v>0</v>
      </c>
      <c r="AU38" s="182" t="e">
        <f t="shared" si="10"/>
        <v>#DIV/0!</v>
      </c>
      <c r="AV38" s="183" t="e">
        <f t="shared" si="11"/>
        <v>#DIV/0!</v>
      </c>
    </row>
    <row r="39" spans="1:48" x14ac:dyDescent="0.25">
      <c r="A39" s="124" t="str">
        <f t="shared" si="12"/>
        <v>x</v>
      </c>
      <c r="B39" s="90">
        <f t="shared" si="0"/>
        <v>0</v>
      </c>
      <c r="C39" s="127"/>
      <c r="D39" s="111" t="e">
        <f t="shared" si="1"/>
        <v>#DIV/0!</v>
      </c>
      <c r="E39" s="90">
        <f t="shared" si="2"/>
        <v>0</v>
      </c>
      <c r="F39" s="109">
        <f t="shared" si="3"/>
        <v>0</v>
      </c>
      <c r="G39" s="109">
        <f t="shared" si="3"/>
        <v>0</v>
      </c>
      <c r="H39" s="109">
        <f t="shared" si="3"/>
        <v>0</v>
      </c>
      <c r="I39" s="109">
        <f t="shared" si="3"/>
        <v>0</v>
      </c>
      <c r="J39" s="109">
        <f t="shared" si="3"/>
        <v>0</v>
      </c>
      <c r="K39" s="109">
        <f t="shared" si="8"/>
        <v>0</v>
      </c>
      <c r="L39" s="109">
        <f t="shared" si="9"/>
        <v>0</v>
      </c>
      <c r="M39" s="109">
        <f t="shared" si="3"/>
        <v>0</v>
      </c>
      <c r="N39" s="109">
        <f t="shared" si="3"/>
        <v>0</v>
      </c>
      <c r="O39" s="90">
        <f t="shared" si="3"/>
        <v>0</v>
      </c>
      <c r="P39" s="109">
        <f t="shared" si="3"/>
        <v>0</v>
      </c>
      <c r="Q39" s="109">
        <f t="shared" si="3"/>
        <v>0</v>
      </c>
      <c r="R39" s="109">
        <f t="shared" si="4"/>
        <v>0</v>
      </c>
      <c r="S39" s="109">
        <f t="shared" si="4"/>
        <v>0</v>
      </c>
      <c r="T39" s="109">
        <f t="shared" si="4"/>
        <v>0</v>
      </c>
      <c r="U39" s="109">
        <f t="shared" si="4"/>
        <v>0</v>
      </c>
      <c r="V39" s="109" t="e">
        <f t="shared" si="5"/>
        <v>#DIV/0!</v>
      </c>
      <c r="W39" s="109">
        <f t="shared" si="14"/>
        <v>0</v>
      </c>
      <c r="X39" s="109">
        <f t="shared" si="14"/>
        <v>0</v>
      </c>
      <c r="Y39" s="109">
        <f t="shared" si="14"/>
        <v>0</v>
      </c>
      <c r="Z39" s="109">
        <f t="shared" si="14"/>
        <v>0</v>
      </c>
      <c r="AA39" s="109">
        <f t="shared" si="14"/>
        <v>0</v>
      </c>
      <c r="AB39" s="109">
        <f t="shared" si="14"/>
        <v>0</v>
      </c>
      <c r="AC39" s="109">
        <f t="shared" si="14"/>
        <v>0</v>
      </c>
      <c r="AD39" s="109">
        <f t="shared" si="14"/>
        <v>0</v>
      </c>
      <c r="AE39" s="109">
        <f t="shared" si="14"/>
        <v>0</v>
      </c>
      <c r="AF39" s="126">
        <f t="shared" si="14"/>
        <v>0</v>
      </c>
      <c r="AG39" s="126">
        <f t="shared" si="14"/>
        <v>0</v>
      </c>
      <c r="AH39" s="126">
        <f t="shared" si="14"/>
        <v>0</v>
      </c>
      <c r="AI39" s="126">
        <f t="shared" si="14"/>
        <v>0</v>
      </c>
      <c r="AJ39" s="126">
        <f t="shared" si="14"/>
        <v>0</v>
      </c>
      <c r="AK39" s="126">
        <f t="shared" si="14"/>
        <v>0</v>
      </c>
      <c r="AL39" s="126">
        <f t="shared" si="14"/>
        <v>0</v>
      </c>
      <c r="AM39" s="126">
        <f t="shared" si="14"/>
        <v>0</v>
      </c>
      <c r="AN39" s="126">
        <f t="shared" si="14"/>
        <v>0</v>
      </c>
      <c r="AO39" s="126">
        <f t="shared" si="14"/>
        <v>0</v>
      </c>
      <c r="AP39" s="126">
        <f t="shared" si="14"/>
        <v>0</v>
      </c>
      <c r="AQ39" s="126">
        <f t="shared" si="14"/>
        <v>0</v>
      </c>
      <c r="AR39" s="126">
        <f t="shared" si="14"/>
        <v>0</v>
      </c>
      <c r="AS39" s="126">
        <f t="shared" si="14"/>
        <v>0</v>
      </c>
      <c r="AT39" s="113">
        <f t="shared" si="7"/>
        <v>0</v>
      </c>
      <c r="AU39" s="182" t="e">
        <f t="shared" si="10"/>
        <v>#DIV/0!</v>
      </c>
      <c r="AV39" s="183" t="e">
        <f t="shared" si="11"/>
        <v>#DIV/0!</v>
      </c>
    </row>
    <row r="40" spans="1:48" ht="17.25" thickBot="1" x14ac:dyDescent="0.3">
      <c r="A40" s="129" t="str">
        <f t="shared" si="12"/>
        <v>x</v>
      </c>
      <c r="B40" s="121">
        <f t="shared" si="0"/>
        <v>0</v>
      </c>
      <c r="C40" s="130"/>
      <c r="D40" s="120" t="e">
        <f t="shared" si="1"/>
        <v>#DIV/0!</v>
      </c>
      <c r="E40" s="121">
        <f t="shared" si="2"/>
        <v>0</v>
      </c>
      <c r="F40" s="117">
        <f t="shared" si="3"/>
        <v>0</v>
      </c>
      <c r="G40" s="117">
        <f t="shared" si="3"/>
        <v>0</v>
      </c>
      <c r="H40" s="117">
        <f t="shared" si="3"/>
        <v>0</v>
      </c>
      <c r="I40" s="117">
        <f t="shared" si="3"/>
        <v>0</v>
      </c>
      <c r="J40" s="117">
        <f t="shared" si="3"/>
        <v>0</v>
      </c>
      <c r="K40" s="117">
        <f t="shared" si="8"/>
        <v>0</v>
      </c>
      <c r="L40" s="117">
        <f t="shared" si="9"/>
        <v>0</v>
      </c>
      <c r="M40" s="117">
        <f t="shared" si="3"/>
        <v>0</v>
      </c>
      <c r="N40" s="117">
        <f t="shared" si="3"/>
        <v>0</v>
      </c>
      <c r="O40" s="121">
        <f t="shared" si="3"/>
        <v>0</v>
      </c>
      <c r="P40" s="117">
        <f t="shared" si="3"/>
        <v>0</v>
      </c>
      <c r="Q40" s="117">
        <f t="shared" si="3"/>
        <v>0</v>
      </c>
      <c r="R40" s="117">
        <f t="shared" si="4"/>
        <v>0</v>
      </c>
      <c r="S40" s="117">
        <f t="shared" si="4"/>
        <v>0</v>
      </c>
      <c r="T40" s="117">
        <f t="shared" si="4"/>
        <v>0</v>
      </c>
      <c r="U40" s="117">
        <f t="shared" si="4"/>
        <v>0</v>
      </c>
      <c r="V40" s="117" t="e">
        <f t="shared" si="5"/>
        <v>#DIV/0!</v>
      </c>
      <c r="W40" s="117">
        <f t="shared" si="14"/>
        <v>0</v>
      </c>
      <c r="X40" s="117">
        <f t="shared" si="14"/>
        <v>0</v>
      </c>
      <c r="Y40" s="117">
        <f t="shared" si="14"/>
        <v>0</v>
      </c>
      <c r="Z40" s="117">
        <f t="shared" si="14"/>
        <v>0</v>
      </c>
      <c r="AA40" s="117">
        <f t="shared" si="14"/>
        <v>0</v>
      </c>
      <c r="AB40" s="117">
        <f t="shared" si="14"/>
        <v>0</v>
      </c>
      <c r="AC40" s="117">
        <f t="shared" si="14"/>
        <v>0</v>
      </c>
      <c r="AD40" s="117">
        <f t="shared" si="14"/>
        <v>0</v>
      </c>
      <c r="AE40" s="117">
        <f t="shared" si="14"/>
        <v>0</v>
      </c>
      <c r="AF40" s="131">
        <f t="shared" si="14"/>
        <v>0</v>
      </c>
      <c r="AG40" s="131">
        <f t="shared" si="14"/>
        <v>0</v>
      </c>
      <c r="AH40" s="131">
        <f t="shared" si="14"/>
        <v>0</v>
      </c>
      <c r="AI40" s="131">
        <f t="shared" si="14"/>
        <v>0</v>
      </c>
      <c r="AJ40" s="131">
        <f t="shared" si="14"/>
        <v>0</v>
      </c>
      <c r="AK40" s="131">
        <f t="shared" si="14"/>
        <v>0</v>
      </c>
      <c r="AL40" s="131">
        <f t="shared" si="14"/>
        <v>0</v>
      </c>
      <c r="AM40" s="131">
        <f t="shared" si="14"/>
        <v>0</v>
      </c>
      <c r="AN40" s="131">
        <f t="shared" si="14"/>
        <v>0</v>
      </c>
      <c r="AO40" s="131">
        <f t="shared" si="14"/>
        <v>0</v>
      </c>
      <c r="AP40" s="131">
        <f t="shared" si="14"/>
        <v>0</v>
      </c>
      <c r="AQ40" s="131">
        <f t="shared" si="14"/>
        <v>0</v>
      </c>
      <c r="AR40" s="131">
        <f t="shared" si="14"/>
        <v>0</v>
      </c>
      <c r="AS40" s="131">
        <f t="shared" si="14"/>
        <v>0</v>
      </c>
      <c r="AT40" s="113">
        <f t="shared" si="7"/>
        <v>0</v>
      </c>
      <c r="AU40" s="182" t="e">
        <f t="shared" si="10"/>
        <v>#DIV/0!</v>
      </c>
      <c r="AV40" s="183" t="e">
        <f t="shared" si="11"/>
        <v>#DIV/0!</v>
      </c>
    </row>
    <row r="41" spans="1:48" ht="17.25" thickTop="1" x14ac:dyDescent="0.25">
      <c r="B41" s="109"/>
      <c r="D41" s="111"/>
      <c r="E41" s="82"/>
      <c r="AF41" s="77"/>
      <c r="AG41" s="77"/>
      <c r="AH41" s="77"/>
      <c r="AI41" s="77"/>
    </row>
    <row r="42" spans="1:48" ht="17.25" thickBot="1" x14ac:dyDescent="0.3">
      <c r="A42" s="89" t="s">
        <v>32</v>
      </c>
      <c r="B42" s="77"/>
      <c r="C42" s="113">
        <f t="shared" ref="C42:AS42" si="15">SUM(C25:C40)</f>
        <v>0</v>
      </c>
      <c r="D42" s="111" t="e">
        <f>SUM(D25:D40)</f>
        <v>#DIV/0!</v>
      </c>
      <c r="E42" s="132" t="e">
        <f>E43/C42</f>
        <v>#DIV/0!</v>
      </c>
      <c r="F42" s="90">
        <f>SUM(F25:F40)</f>
        <v>0</v>
      </c>
      <c r="G42" s="90">
        <f>SUM(G25:G40)</f>
        <v>0</v>
      </c>
      <c r="H42" s="90">
        <f t="shared" si="15"/>
        <v>0</v>
      </c>
      <c r="I42" s="113">
        <f>SUM(I25:I40)</f>
        <v>0</v>
      </c>
      <c r="J42" s="113">
        <f t="shared" si="15"/>
        <v>0</v>
      </c>
      <c r="K42" s="113">
        <f t="shared" si="15"/>
        <v>0</v>
      </c>
      <c r="L42" s="113">
        <f t="shared" si="15"/>
        <v>0</v>
      </c>
      <c r="M42" s="113">
        <f t="shared" si="15"/>
        <v>0</v>
      </c>
      <c r="N42" s="113">
        <f t="shared" si="15"/>
        <v>0</v>
      </c>
      <c r="O42" s="113">
        <f>SUM(O25:O40)</f>
        <v>0</v>
      </c>
      <c r="P42" s="113">
        <f t="shared" si="15"/>
        <v>0</v>
      </c>
      <c r="Q42" s="113">
        <f t="shared" si="15"/>
        <v>0</v>
      </c>
      <c r="R42" s="109">
        <f t="shared" si="15"/>
        <v>0</v>
      </c>
      <c r="S42" s="113">
        <f t="shared" si="15"/>
        <v>0</v>
      </c>
      <c r="T42" s="113">
        <f t="shared" si="15"/>
        <v>0</v>
      </c>
      <c r="U42" s="113">
        <f t="shared" si="15"/>
        <v>0</v>
      </c>
      <c r="V42" s="113" t="e">
        <f t="shared" si="15"/>
        <v>#DIV/0!</v>
      </c>
      <c r="W42" s="109">
        <f t="shared" si="15"/>
        <v>0</v>
      </c>
      <c r="X42" s="109">
        <f t="shared" si="15"/>
        <v>0</v>
      </c>
      <c r="Y42" s="109">
        <f t="shared" si="15"/>
        <v>0</v>
      </c>
      <c r="Z42" s="109">
        <f t="shared" si="15"/>
        <v>0</v>
      </c>
      <c r="AA42" s="109">
        <f t="shared" si="15"/>
        <v>0</v>
      </c>
      <c r="AB42" s="109">
        <f t="shared" si="15"/>
        <v>0</v>
      </c>
      <c r="AC42" s="109">
        <f t="shared" si="15"/>
        <v>0</v>
      </c>
      <c r="AD42" s="109">
        <f t="shared" si="15"/>
        <v>0</v>
      </c>
      <c r="AE42" s="109">
        <f t="shared" si="15"/>
        <v>0</v>
      </c>
      <c r="AF42" s="113">
        <f t="shared" si="15"/>
        <v>0</v>
      </c>
      <c r="AG42" s="113">
        <f t="shared" si="15"/>
        <v>0</v>
      </c>
      <c r="AH42" s="113">
        <f>SUM(AH25:AH40)</f>
        <v>0</v>
      </c>
      <c r="AI42" s="113">
        <f>SUM(AI25:AI40)</f>
        <v>0</v>
      </c>
      <c r="AJ42" s="113">
        <f>SUM(AJ25:AJ40)</f>
        <v>0</v>
      </c>
      <c r="AK42" s="113">
        <f>SUM(AK25:AK40)</f>
        <v>0</v>
      </c>
      <c r="AL42" s="113">
        <f t="shared" si="15"/>
        <v>0</v>
      </c>
      <c r="AM42" s="115">
        <f>SUM(AM25:AM40)</f>
        <v>0</v>
      </c>
      <c r="AN42" s="115">
        <f t="shared" si="15"/>
        <v>0</v>
      </c>
      <c r="AO42" s="115">
        <f t="shared" si="15"/>
        <v>0</v>
      </c>
      <c r="AP42" s="113">
        <f t="shared" si="15"/>
        <v>0</v>
      </c>
      <c r="AQ42" s="113">
        <f t="shared" si="15"/>
        <v>0</v>
      </c>
      <c r="AR42" s="113">
        <f t="shared" si="15"/>
        <v>0</v>
      </c>
      <c r="AS42" s="113">
        <f t="shared" si="15"/>
        <v>0</v>
      </c>
    </row>
    <row r="43" spans="1:48" ht="18" thickTop="1" thickBot="1" x14ac:dyDescent="0.3">
      <c r="A43" s="133" t="s">
        <v>71</v>
      </c>
      <c r="B43" s="134"/>
      <c r="C43" s="135"/>
      <c r="D43" s="136"/>
      <c r="E43" s="137">
        <f>SUM(E25:E40)</f>
        <v>0</v>
      </c>
      <c r="F43" s="138" t="e">
        <f>F42/$E43</f>
        <v>#DIV/0!</v>
      </c>
      <c r="G43" s="138" t="e">
        <f>G42/$E43</f>
        <v>#DIV/0!</v>
      </c>
      <c r="H43" s="138" t="e">
        <f t="shared" ref="H43:AO43" si="16">H42/$E43</f>
        <v>#DIV/0!</v>
      </c>
      <c r="I43" s="139" t="e">
        <f>I42/$E43</f>
        <v>#DIV/0!</v>
      </c>
      <c r="J43" s="139" t="e">
        <f t="shared" si="16"/>
        <v>#DIV/0!</v>
      </c>
      <c r="K43" s="139" t="e">
        <f t="shared" si="16"/>
        <v>#DIV/0!</v>
      </c>
      <c r="L43" s="139" t="e">
        <f t="shared" si="16"/>
        <v>#DIV/0!</v>
      </c>
      <c r="M43" s="139" t="e">
        <f t="shared" si="16"/>
        <v>#DIV/0!</v>
      </c>
      <c r="N43" s="139" t="e">
        <f t="shared" si="16"/>
        <v>#DIV/0!</v>
      </c>
      <c r="O43" s="140" t="e">
        <f t="shared" si="16"/>
        <v>#DIV/0!</v>
      </c>
      <c r="P43" s="139" t="e">
        <f t="shared" si="16"/>
        <v>#DIV/0!</v>
      </c>
      <c r="Q43" s="139" t="e">
        <f t="shared" si="16"/>
        <v>#DIV/0!</v>
      </c>
      <c r="R43" s="139" t="e">
        <f t="shared" si="16"/>
        <v>#DIV/0!</v>
      </c>
      <c r="S43" s="139" t="e">
        <f t="shared" si="16"/>
        <v>#DIV/0!</v>
      </c>
      <c r="T43" s="139" t="e">
        <f>T42/$E43</f>
        <v>#DIV/0!</v>
      </c>
      <c r="U43" s="139" t="e">
        <f t="shared" si="16"/>
        <v>#DIV/0!</v>
      </c>
      <c r="V43" s="139" t="e">
        <f t="shared" si="16"/>
        <v>#DIV/0!</v>
      </c>
      <c r="W43" s="138" t="e">
        <f t="shared" si="16"/>
        <v>#DIV/0!</v>
      </c>
      <c r="X43" s="138" t="e">
        <f t="shared" si="16"/>
        <v>#DIV/0!</v>
      </c>
      <c r="Y43" s="138" t="e">
        <f t="shared" si="16"/>
        <v>#DIV/0!</v>
      </c>
      <c r="Z43" s="138" t="e">
        <f t="shared" si="16"/>
        <v>#DIV/0!</v>
      </c>
      <c r="AA43" s="138" t="e">
        <f t="shared" si="16"/>
        <v>#DIV/0!</v>
      </c>
      <c r="AB43" s="138" t="e">
        <f t="shared" si="16"/>
        <v>#DIV/0!</v>
      </c>
      <c r="AC43" s="138" t="e">
        <f t="shared" si="16"/>
        <v>#DIV/0!</v>
      </c>
      <c r="AD43" s="138" t="e">
        <f t="shared" si="16"/>
        <v>#DIV/0!</v>
      </c>
      <c r="AE43" s="138" t="e">
        <f t="shared" si="16"/>
        <v>#DIV/0!</v>
      </c>
      <c r="AF43" s="140" t="e">
        <f t="shared" si="16"/>
        <v>#DIV/0!</v>
      </c>
      <c r="AG43" s="137" t="e">
        <f t="shared" si="16"/>
        <v>#DIV/0!</v>
      </c>
      <c r="AH43" s="137" t="e">
        <f t="shared" si="16"/>
        <v>#DIV/0!</v>
      </c>
      <c r="AI43" s="137" t="e">
        <f t="shared" si="16"/>
        <v>#DIV/0!</v>
      </c>
      <c r="AJ43" s="140" t="e">
        <f t="shared" si="16"/>
        <v>#DIV/0!</v>
      </c>
      <c r="AK43" s="140" t="e">
        <f t="shared" si="16"/>
        <v>#DIV/0!</v>
      </c>
      <c r="AL43" s="137" t="e">
        <f t="shared" si="16"/>
        <v>#DIV/0!</v>
      </c>
      <c r="AM43" s="137" t="e">
        <f t="shared" si="16"/>
        <v>#DIV/0!</v>
      </c>
      <c r="AN43" s="137" t="e">
        <f t="shared" si="16"/>
        <v>#DIV/0!</v>
      </c>
      <c r="AO43" s="137" t="e">
        <f t="shared" si="16"/>
        <v>#DIV/0!</v>
      </c>
      <c r="AP43" s="141">
        <f t="shared" ref="AP43:AS43" si="17">AP42</f>
        <v>0</v>
      </c>
      <c r="AQ43" s="141">
        <f t="shared" si="17"/>
        <v>0</v>
      </c>
      <c r="AR43" s="141">
        <f t="shared" si="17"/>
        <v>0</v>
      </c>
      <c r="AS43" s="216">
        <f t="shared" si="17"/>
        <v>0</v>
      </c>
    </row>
    <row r="44" spans="1:48" s="87" customFormat="1" ht="6.75" customHeight="1" thickTop="1" thickBot="1" x14ac:dyDescent="0.3">
      <c r="A44" s="209"/>
      <c r="B44" s="210"/>
      <c r="C44" s="211"/>
      <c r="D44" s="211"/>
      <c r="E44" s="212"/>
      <c r="F44" s="212"/>
      <c r="G44" s="212"/>
      <c r="H44" s="212"/>
      <c r="I44" s="212"/>
      <c r="J44" s="212"/>
      <c r="K44" s="212"/>
      <c r="L44" s="212"/>
      <c r="M44" s="212"/>
      <c r="N44" s="212"/>
      <c r="O44" s="212"/>
      <c r="P44" s="212"/>
      <c r="Q44" s="212"/>
      <c r="R44" s="212"/>
      <c r="S44" s="212"/>
      <c r="T44" s="212"/>
      <c r="U44" s="212"/>
      <c r="V44" s="212"/>
      <c r="W44" s="212"/>
      <c r="X44" s="212"/>
      <c r="Y44" s="212"/>
      <c r="Z44" s="212"/>
      <c r="AA44" s="212"/>
      <c r="AB44" s="212"/>
      <c r="AC44" s="212"/>
      <c r="AD44" s="212"/>
      <c r="AE44" s="212"/>
      <c r="AF44" s="212"/>
      <c r="AG44" s="212"/>
      <c r="AH44" s="212"/>
      <c r="AI44" s="212"/>
      <c r="AJ44" s="212"/>
      <c r="AK44" s="212"/>
      <c r="AL44" s="212"/>
      <c r="AM44" s="213"/>
      <c r="AN44" s="213"/>
      <c r="AO44" s="213"/>
      <c r="AP44" s="212"/>
      <c r="AQ44" s="212"/>
      <c r="AR44" s="212"/>
      <c r="AS44" s="212"/>
    </row>
    <row r="45" spans="1:48" s="153" customFormat="1" ht="18" thickTop="1" thickBot="1" x14ac:dyDescent="0.3">
      <c r="A45" s="145" t="s">
        <v>200</v>
      </c>
      <c r="B45" s="146"/>
      <c r="C45" s="147"/>
      <c r="D45" s="147"/>
      <c r="E45" s="148">
        <f>((1.97-(0.75*EXP(0.16*(D2-280))))/100)*D1</f>
        <v>0</v>
      </c>
      <c r="F45" s="149" t="s">
        <v>256</v>
      </c>
      <c r="G45" s="150">
        <v>0.1</v>
      </c>
      <c r="H45" s="149" t="s">
        <v>292</v>
      </c>
      <c r="I45" s="149"/>
      <c r="J45" s="149" t="s">
        <v>283</v>
      </c>
      <c r="K45" s="149"/>
      <c r="L45" s="149"/>
      <c r="M45" s="149" t="s">
        <v>242</v>
      </c>
      <c r="N45" s="149"/>
      <c r="O45" s="151" t="s">
        <v>255</v>
      </c>
      <c r="P45" s="149">
        <v>0.66</v>
      </c>
      <c r="Q45" s="149" t="s">
        <v>191</v>
      </c>
      <c r="R45" s="149" t="s">
        <v>189</v>
      </c>
      <c r="S45" s="149"/>
      <c r="T45" s="149" t="s">
        <v>275</v>
      </c>
      <c r="U45" s="149" t="s">
        <v>251</v>
      </c>
      <c r="V45" s="149"/>
      <c r="W45" s="150"/>
      <c r="X45" s="150"/>
      <c r="Y45" s="150" t="s">
        <v>289</v>
      </c>
      <c r="Z45" s="150" t="s">
        <v>290</v>
      </c>
      <c r="AA45" s="150" t="s">
        <v>293</v>
      </c>
      <c r="AB45" s="150">
        <v>6.0000000000000001E-3</v>
      </c>
      <c r="AC45" s="150" t="s">
        <v>207</v>
      </c>
      <c r="AD45" s="150">
        <v>1.6000000000000001E-3</v>
      </c>
      <c r="AE45" s="150" t="s">
        <v>294</v>
      </c>
      <c r="AF45" s="151">
        <v>0.2</v>
      </c>
      <c r="AG45" s="148">
        <v>20</v>
      </c>
      <c r="AH45" s="148" t="s">
        <v>70</v>
      </c>
      <c r="AI45" s="148" t="s">
        <v>70</v>
      </c>
      <c r="AJ45" s="151" t="s">
        <v>252</v>
      </c>
      <c r="AK45" s="151">
        <v>0.5</v>
      </c>
      <c r="AL45" s="148">
        <v>13</v>
      </c>
      <c r="AM45" s="152" t="s">
        <v>330</v>
      </c>
      <c r="AN45" s="152" t="s">
        <v>329</v>
      </c>
      <c r="AO45" s="152" t="s">
        <v>331</v>
      </c>
      <c r="AP45" s="148">
        <v>20</v>
      </c>
      <c r="AQ45" s="148" t="s">
        <v>296</v>
      </c>
      <c r="AR45" s="148">
        <v>5</v>
      </c>
      <c r="AS45" s="148" t="s">
        <v>280</v>
      </c>
    </row>
    <row r="46" spans="1:48" ht="17.25" thickTop="1" x14ac:dyDescent="0.25">
      <c r="A46" s="89"/>
      <c r="B46" s="91"/>
      <c r="E46" s="207"/>
      <c r="F46" s="85"/>
      <c r="H46" s="77"/>
      <c r="J46" s="77"/>
      <c r="K46" s="77"/>
      <c r="L46" s="77"/>
      <c r="M46" s="85"/>
      <c r="P46" s="85"/>
      <c r="S46" s="85"/>
      <c r="T46" s="77"/>
      <c r="U46" s="77"/>
      <c r="V46" s="77"/>
      <c r="W46" s="85"/>
      <c r="Y46" s="159"/>
      <c r="Z46" s="85"/>
      <c r="AA46" s="85"/>
      <c r="AB46" s="85"/>
      <c r="AC46" s="85"/>
      <c r="AD46" s="85"/>
      <c r="AE46" s="85"/>
      <c r="AF46" s="98"/>
      <c r="AG46" s="98"/>
      <c r="AH46" s="98"/>
      <c r="AI46" s="98"/>
      <c r="AJ46" s="98"/>
      <c r="AK46" s="98"/>
      <c r="AL46" s="98"/>
      <c r="AM46" s="98"/>
      <c r="AN46" s="98"/>
      <c r="AO46" s="98"/>
      <c r="AR46" s="98"/>
      <c r="AS46" s="98"/>
      <c r="AU46" s="98"/>
    </row>
    <row r="47" spans="1:48" x14ac:dyDescent="0.25">
      <c r="F47" s="77"/>
      <c r="G47" s="161"/>
      <c r="H47" s="87"/>
      <c r="J47" s="85" t="s">
        <v>190</v>
      </c>
      <c r="T47" s="77"/>
      <c r="U47" s="77"/>
      <c r="V47" s="77"/>
      <c r="W47" s="85"/>
      <c r="Y47" s="85"/>
      <c r="AA47" s="164"/>
      <c r="AE47" s="85"/>
      <c r="AF47" s="98"/>
      <c r="AG47" s="98"/>
      <c r="AH47" s="98"/>
      <c r="AI47" s="98"/>
      <c r="AJ47" s="98"/>
      <c r="AK47" s="98"/>
      <c r="AL47" s="98"/>
      <c r="AM47" s="98"/>
      <c r="AN47" s="98"/>
      <c r="AO47" s="98"/>
      <c r="AR47" s="98"/>
      <c r="AS47" s="98"/>
      <c r="AT47" s="98"/>
      <c r="AU47" s="98"/>
    </row>
    <row r="48" spans="1:48" x14ac:dyDescent="0.25">
      <c r="G48" s="85"/>
      <c r="H48" s="75" t="s">
        <v>174</v>
      </c>
      <c r="I48" s="161" t="e">
        <f>M42/D1</f>
        <v>#DIV/0!</v>
      </c>
      <c r="J48" s="154" t="s">
        <v>257</v>
      </c>
      <c r="Q48" s="162"/>
      <c r="Y48" s="85"/>
      <c r="AA48" s="165"/>
      <c r="AE48" s="85"/>
      <c r="AF48" s="85"/>
      <c r="AG48" s="85"/>
      <c r="AH48" s="85"/>
      <c r="AT48" s="98"/>
      <c r="AU48" s="98"/>
    </row>
    <row r="49" spans="2:35" x14ac:dyDescent="0.25">
      <c r="G49" s="85"/>
      <c r="H49" s="75" t="s">
        <v>197</v>
      </c>
      <c r="I49" s="161" t="e">
        <f>(SUMIF(AT$25:AT$40,"F",E$25:E$40)+SUMIF(AT$25:AT$40,"S",E$25:E$40))/E$43</f>
        <v>#DIV/0!</v>
      </c>
      <c r="J49" s="85" t="s">
        <v>205</v>
      </c>
      <c r="Q49" s="77"/>
      <c r="X49" s="77"/>
      <c r="AA49" s="85"/>
      <c r="AE49" s="85"/>
      <c r="AF49" s="85"/>
      <c r="AG49" s="85"/>
      <c r="AH49" s="85"/>
    </row>
    <row r="50" spans="2:35" x14ac:dyDescent="0.25">
      <c r="G50" s="87"/>
      <c r="H50" s="75" t="s">
        <v>187</v>
      </c>
      <c r="I50" s="189" t="e">
        <f>K43/V43</f>
        <v>#DIV/0!</v>
      </c>
      <c r="J50" s="85" t="s">
        <v>188</v>
      </c>
      <c r="Q50" s="77"/>
      <c r="X50" s="77"/>
      <c r="Z50" s="77"/>
      <c r="AA50" s="77"/>
      <c r="AB50" s="77"/>
      <c r="AC50" s="77"/>
      <c r="AD50" s="77"/>
      <c r="AE50" s="77"/>
      <c r="AF50" s="77"/>
      <c r="AG50" s="77"/>
      <c r="AH50" s="77"/>
      <c r="AI50" s="77"/>
    </row>
    <row r="51" spans="2:35" x14ac:dyDescent="0.25">
      <c r="C51" s="77"/>
      <c r="D51" s="77"/>
      <c r="E51" s="77"/>
      <c r="F51" s="77"/>
      <c r="G51" s="87"/>
      <c r="H51" s="75" t="s">
        <v>193</v>
      </c>
      <c r="I51" s="159" t="e">
        <f>X42/W42</f>
        <v>#DIV/0!</v>
      </c>
      <c r="J51" s="85">
        <v>3</v>
      </c>
      <c r="Q51" s="77"/>
      <c r="Z51" s="85"/>
      <c r="AA51" s="85"/>
      <c r="AE51" s="85"/>
      <c r="AF51" s="85"/>
      <c r="AG51" s="85"/>
      <c r="AH51" s="85"/>
      <c r="AI51" s="85"/>
    </row>
    <row r="52" spans="2:35" x14ac:dyDescent="0.25">
      <c r="C52" s="154"/>
      <c r="D52" s="77"/>
      <c r="E52" s="77"/>
      <c r="F52" s="77"/>
      <c r="G52" s="87"/>
      <c r="H52" s="75" t="s">
        <v>52</v>
      </c>
      <c r="I52" s="159" t="e">
        <f>Y42/Z42</f>
        <v>#DIV/0!</v>
      </c>
      <c r="J52" s="163" t="s">
        <v>206</v>
      </c>
      <c r="Q52" s="164"/>
    </row>
    <row r="53" spans="2:35" x14ac:dyDescent="0.25">
      <c r="D53" s="77"/>
      <c r="E53" s="77"/>
      <c r="F53" s="77"/>
      <c r="G53" s="87"/>
      <c r="H53" s="190" t="s">
        <v>169</v>
      </c>
      <c r="I53" s="165" t="e">
        <f>(((AD43/23)+(AB43/39))-((AE43/35)+(AC43/32*2)))*1000000</f>
        <v>#DIV/0!</v>
      </c>
      <c r="J53" s="214" t="s">
        <v>281</v>
      </c>
      <c r="Q53" s="164"/>
    </row>
    <row r="54" spans="2:35" x14ac:dyDescent="0.25">
      <c r="D54" s="77"/>
      <c r="E54" s="77"/>
      <c r="F54" s="77"/>
      <c r="G54" s="87"/>
      <c r="H54" s="84" t="s">
        <v>180</v>
      </c>
      <c r="I54" s="165">
        <f>(EXP(O55)/(1+EXP(O55))*100)</f>
        <v>50</v>
      </c>
      <c r="J54" s="85" t="s">
        <v>208</v>
      </c>
      <c r="Q54" s="77"/>
    </row>
    <row r="55" spans="2:35" x14ac:dyDescent="0.25">
      <c r="H55" s="166" t="s">
        <v>239</v>
      </c>
      <c r="I55" s="161" t="e">
        <f>(2.365+(0.214*((SUMIF(AT25:AT40,"F",E25:E40)+SUMIF(AT25:AT40,"S",E25:E40))/D1*100))+(0.734*(SUMIF(AT25:AT40,"C",E25:E40)/D1*100)+(0.069*(SUMIF(AT25:AT40,"S",E25:E40)+SUMIF(AT25:AT40,"F",E25:E40)))))/100</f>
        <v>#DIV/0!</v>
      </c>
      <c r="N55" s="215"/>
      <c r="Q55" s="164"/>
    </row>
    <row r="56" spans="2:35" x14ac:dyDescent="0.25">
      <c r="H56" s="75" t="s">
        <v>240</v>
      </c>
      <c r="I56" s="161" t="e">
        <f>(1.169+(1.375*(SUMIF(AT25:AT40,"F",E25:E40)+SUMIF(AT25:AT40,"S",E25:E40))/D1*100)+(1.721*SUMIF(AT25:AT40,"C",E25:E40)/D1*100))/100</f>
        <v>#DIV/0!</v>
      </c>
      <c r="N56" s="215"/>
      <c r="Q56" s="164"/>
    </row>
    <row r="57" spans="2:35" x14ac:dyDescent="0.25">
      <c r="H57" s="167" t="s">
        <v>241</v>
      </c>
      <c r="I57" s="161" t="e">
        <f>(4.524+(0.223*(SUMIF(AT25:AT40,"F",E25:E40)+SUMIF(AT25:AT40,"S",E25:E40))/D1*100)+(2.046*SUMIF(AT25:AT40,"C",E25:E40)/D1*100)+(0.344*(SUMIF(AT25:AT40,"F",E25:E40)+SUMIF(AT25:AT40,"S",E25:E40))))/100</f>
        <v>#DIV/0!</v>
      </c>
      <c r="J57" s="124"/>
      <c r="K57" s="124"/>
      <c r="L57" s="124"/>
      <c r="M57" s="124"/>
      <c r="P57" s="124"/>
      <c r="Q57" s="124"/>
      <c r="R57" s="124"/>
      <c r="V57" s="124"/>
    </row>
    <row r="58" spans="2:35" x14ac:dyDescent="0.25">
      <c r="I58" s="168"/>
      <c r="J58" s="168"/>
      <c r="K58" s="168"/>
      <c r="L58" s="168"/>
      <c r="M58" s="168"/>
      <c r="P58" s="168"/>
      <c r="Q58" s="168"/>
      <c r="R58" s="168"/>
      <c r="V58" s="168"/>
    </row>
    <row r="59" spans="2:35" x14ac:dyDescent="0.25">
      <c r="I59" s="168"/>
      <c r="K59" s="124"/>
      <c r="L59" s="124"/>
      <c r="M59" s="124"/>
      <c r="P59" s="124"/>
      <c r="Q59" s="124"/>
      <c r="R59" s="124"/>
      <c r="V59" s="124"/>
    </row>
    <row r="60" spans="2:35" x14ac:dyDescent="0.25">
      <c r="C60" s="85">
        <v>1</v>
      </c>
      <c r="D60" s="85">
        <v>2</v>
      </c>
      <c r="E60" s="85">
        <v>3</v>
      </c>
      <c r="F60" s="85">
        <v>4</v>
      </c>
      <c r="G60" s="85">
        <v>5</v>
      </c>
      <c r="H60" s="85">
        <v>6</v>
      </c>
      <c r="J60" s="168"/>
      <c r="K60" s="124"/>
      <c r="L60" s="124"/>
      <c r="M60" s="124"/>
      <c r="P60" s="124"/>
      <c r="R60" s="124"/>
      <c r="V60" s="124"/>
    </row>
    <row r="61" spans="2:35" ht="17.25" thickBot="1" x14ac:dyDescent="0.3">
      <c r="C61" s="85" t="s">
        <v>30</v>
      </c>
      <c r="D61" s="85" t="s">
        <v>30</v>
      </c>
      <c r="E61" s="85" t="s">
        <v>30</v>
      </c>
      <c r="F61" s="85" t="s">
        <v>30</v>
      </c>
      <c r="G61" s="85" t="s">
        <v>30</v>
      </c>
      <c r="H61" s="85" t="s">
        <v>30</v>
      </c>
      <c r="J61" s="168"/>
      <c r="K61" s="170"/>
      <c r="L61" s="170"/>
      <c r="M61" s="170"/>
      <c r="P61" s="170"/>
      <c r="R61" s="124"/>
      <c r="V61" s="170"/>
    </row>
    <row r="62" spans="2:35" ht="17.25" thickTop="1" x14ac:dyDescent="0.25">
      <c r="B62" s="156" t="s">
        <v>201</v>
      </c>
      <c r="C62" s="191"/>
      <c r="D62" s="192"/>
      <c r="E62" s="192"/>
      <c r="F62" s="192"/>
      <c r="G62" s="192"/>
      <c r="H62" s="193"/>
      <c r="J62" s="168"/>
      <c r="K62" s="170"/>
      <c r="L62" s="170"/>
      <c r="M62" s="170"/>
      <c r="P62" s="170"/>
      <c r="R62" s="124"/>
      <c r="U62" s="170"/>
      <c r="V62" s="170"/>
    </row>
    <row r="63" spans="2:35" x14ac:dyDescent="0.25">
      <c r="B63" s="156" t="s">
        <v>202</v>
      </c>
      <c r="C63" s="194"/>
      <c r="D63" s="195"/>
      <c r="E63" s="195"/>
      <c r="F63" s="195"/>
      <c r="G63" s="195"/>
      <c r="H63" s="196"/>
      <c r="J63" s="113"/>
      <c r="K63" s="170"/>
      <c r="L63" s="170"/>
      <c r="M63" s="170"/>
      <c r="P63" s="170"/>
      <c r="R63" s="124"/>
      <c r="U63" s="170"/>
      <c r="V63" s="170"/>
    </row>
    <row r="64" spans="2:35" ht="17.25" thickBot="1" x14ac:dyDescent="0.3">
      <c r="B64" s="156" t="s">
        <v>203</v>
      </c>
      <c r="C64" s="197"/>
      <c r="D64" s="198"/>
      <c r="E64" s="198"/>
      <c r="F64" s="198"/>
      <c r="G64" s="198"/>
      <c r="H64" s="199"/>
      <c r="J64" s="113"/>
      <c r="K64" s="170"/>
      <c r="L64" s="170"/>
      <c r="M64" s="170"/>
      <c r="P64" s="170"/>
      <c r="Q64" s="170"/>
      <c r="R64" s="124"/>
      <c r="S64" s="170"/>
      <c r="T64" s="170"/>
      <c r="U64" s="170"/>
      <c r="V64" s="170"/>
    </row>
    <row r="65" spans="1:22" ht="17.25" thickTop="1" x14ac:dyDescent="0.25">
      <c r="C65" s="85" t="s">
        <v>233</v>
      </c>
      <c r="D65" s="85" t="s">
        <v>233</v>
      </c>
      <c r="E65" s="85"/>
      <c r="F65" s="85"/>
      <c r="G65" s="85"/>
      <c r="H65" s="82" t="s">
        <v>233</v>
      </c>
      <c r="I65" s="85" t="s">
        <v>277</v>
      </c>
      <c r="J65" s="82" t="s">
        <v>278</v>
      </c>
      <c r="K65" s="170"/>
      <c r="L65" s="170"/>
      <c r="M65" s="170"/>
      <c r="P65" s="170"/>
      <c r="Q65" s="170"/>
      <c r="R65" s="124"/>
      <c r="S65" s="170"/>
      <c r="T65" s="170"/>
      <c r="U65" s="170"/>
      <c r="V65" s="170"/>
    </row>
    <row r="66" spans="1:22" x14ac:dyDescent="0.25">
      <c r="B66" s="156" t="s">
        <v>201</v>
      </c>
      <c r="C66" s="200" t="e">
        <f>C62/SUM(C$62:C$64)</f>
        <v>#DIV/0!</v>
      </c>
      <c r="D66" s="200" t="e">
        <f t="shared" ref="D66" si="18">D62/SUM(D$62:D$64)</f>
        <v>#DIV/0!</v>
      </c>
      <c r="E66" s="200" t="e">
        <f>E62/SUM(E$62:E$64)</f>
        <v>#DIV/0!</v>
      </c>
      <c r="F66" s="200" t="e">
        <f t="shared" ref="F66:H66" si="19">F62/SUM(F$62:F$64)</f>
        <v>#DIV/0!</v>
      </c>
      <c r="G66" s="200" t="e">
        <f t="shared" si="19"/>
        <v>#DIV/0!</v>
      </c>
      <c r="H66" s="200" t="e">
        <f t="shared" si="19"/>
        <v>#DIV/0!</v>
      </c>
      <c r="I66" s="85" t="e">
        <f>STDEV(C66:H66)/AVERAGE(C66:H66)</f>
        <v>#DIV/0!</v>
      </c>
      <c r="J66" s="82" t="s">
        <v>300</v>
      </c>
      <c r="K66" s="170"/>
      <c r="L66" s="170"/>
      <c r="M66" s="170"/>
      <c r="P66" s="170"/>
      <c r="Q66" s="170"/>
      <c r="R66" s="124"/>
      <c r="S66" s="170"/>
      <c r="T66" s="170"/>
      <c r="U66" s="170"/>
      <c r="V66" s="170"/>
    </row>
    <row r="67" spans="1:22" x14ac:dyDescent="0.25">
      <c r="B67" s="156" t="s">
        <v>202</v>
      </c>
      <c r="C67" s="200" t="e">
        <f>C63/SUM(C$62:C$64)</f>
        <v>#DIV/0!</v>
      </c>
      <c r="D67" s="200" t="e">
        <f t="shared" ref="C67:H68" si="20">D63/SUM(D$62:D$64)</f>
        <v>#DIV/0!</v>
      </c>
      <c r="E67" s="200" t="e">
        <f>E63/SUM(E$62:E$64)</f>
        <v>#DIV/0!</v>
      </c>
      <c r="F67" s="200" t="e">
        <f t="shared" ref="F67:H67" si="21">F63/SUM(F$62:F$64)</f>
        <v>#DIV/0!</v>
      </c>
      <c r="G67" s="200" t="e">
        <f t="shared" si="21"/>
        <v>#DIV/0!</v>
      </c>
      <c r="H67" s="200" t="e">
        <f t="shared" si="21"/>
        <v>#DIV/0!</v>
      </c>
      <c r="I67" s="93" t="e">
        <f>STDEV(C67:H67)/AVERAGE(C67:H67)</f>
        <v>#DIV/0!</v>
      </c>
      <c r="J67" s="82" t="s">
        <v>297</v>
      </c>
      <c r="K67" s="170"/>
      <c r="L67" s="170"/>
      <c r="M67" s="170"/>
      <c r="P67" s="170"/>
      <c r="Q67" s="170"/>
      <c r="R67" s="170"/>
      <c r="S67" s="170"/>
      <c r="T67" s="170"/>
      <c r="U67" s="170"/>
      <c r="V67" s="170"/>
    </row>
    <row r="68" spans="1:22" x14ac:dyDescent="0.25">
      <c r="B68" s="156" t="s">
        <v>203</v>
      </c>
      <c r="C68" s="200" t="e">
        <f t="shared" si="20"/>
        <v>#DIV/0!</v>
      </c>
      <c r="D68" s="200" t="e">
        <f t="shared" si="20"/>
        <v>#DIV/0!</v>
      </c>
      <c r="E68" s="200" t="e">
        <f t="shared" si="20"/>
        <v>#DIV/0!</v>
      </c>
      <c r="F68" s="200" t="e">
        <f t="shared" si="20"/>
        <v>#DIV/0!</v>
      </c>
      <c r="G68" s="200" t="e">
        <f t="shared" si="20"/>
        <v>#DIV/0!</v>
      </c>
      <c r="H68" s="200" t="e">
        <f t="shared" si="20"/>
        <v>#DIV/0!</v>
      </c>
      <c r="I68" s="93" t="e">
        <f>STDEV(C68:H68)/AVERAGE(C68:H68)</f>
        <v>#DIV/0!</v>
      </c>
      <c r="J68" s="82" t="s">
        <v>297</v>
      </c>
      <c r="K68" s="170"/>
      <c r="L68" s="170"/>
      <c r="M68" s="170"/>
      <c r="P68" s="170"/>
      <c r="Q68" s="170"/>
      <c r="R68" s="170"/>
      <c r="S68" s="170"/>
      <c r="T68" s="170"/>
      <c r="U68" s="170"/>
      <c r="V68" s="170"/>
    </row>
    <row r="69" spans="1:22" x14ac:dyDescent="0.25">
      <c r="I69" s="170"/>
      <c r="J69" s="170"/>
      <c r="K69" s="170"/>
      <c r="L69" s="170"/>
      <c r="M69" s="170"/>
      <c r="P69" s="170"/>
      <c r="Q69" s="170"/>
      <c r="R69" s="170"/>
      <c r="S69" s="170"/>
      <c r="T69" s="170"/>
      <c r="U69" s="170"/>
      <c r="V69" s="170"/>
    </row>
    <row r="70" spans="1:22" x14ac:dyDescent="0.25">
      <c r="I70" s="170"/>
      <c r="J70" s="170"/>
      <c r="K70" s="170"/>
      <c r="L70" s="170"/>
      <c r="M70" s="170"/>
      <c r="P70" s="170"/>
      <c r="Q70" s="170"/>
      <c r="R70" s="170"/>
      <c r="S70" s="170"/>
      <c r="T70" s="170"/>
      <c r="U70" s="170"/>
      <c r="V70" s="170"/>
    </row>
    <row r="71" spans="1:22" x14ac:dyDescent="0.25">
      <c r="E71" s="202" t="s">
        <v>204</v>
      </c>
      <c r="F71" s="203" t="s">
        <v>162</v>
      </c>
      <c r="G71" s="203" t="s">
        <v>163</v>
      </c>
      <c r="I71" s="170"/>
      <c r="J71" s="170"/>
      <c r="K71" s="170"/>
      <c r="L71" s="170"/>
      <c r="M71" s="170"/>
      <c r="P71" s="170"/>
      <c r="Q71" s="170"/>
      <c r="R71" s="170"/>
      <c r="S71" s="170"/>
      <c r="T71" s="170"/>
      <c r="U71" s="170"/>
      <c r="V71" s="170"/>
    </row>
    <row r="72" spans="1:22" x14ac:dyDescent="0.25">
      <c r="E72" s="156" t="s">
        <v>201</v>
      </c>
      <c r="F72" s="93" t="str">
        <f>IFERROR(AVERAGE(C66:H66),"")</f>
        <v/>
      </c>
      <c r="G72" s="158">
        <f>SUMIF(AT$25:AT$40,"F",AV$25:AV$40)+SUMIF(AT$25:AT$40,"S",AV$25:AV$40)</f>
        <v>0</v>
      </c>
    </row>
    <row r="73" spans="1:22" x14ac:dyDescent="0.25">
      <c r="E73" s="156" t="s">
        <v>202</v>
      </c>
      <c r="F73" s="93" t="str">
        <f>IFERROR(AVERAGE(C67:H67),"")</f>
        <v/>
      </c>
      <c r="G73" s="158">
        <f>SUMIF(AT$25:AT$40,"F",AU$25:AU$40)+SUMIF(AT$25:AT$40,"S",AU$25:AU$40)</f>
        <v>0</v>
      </c>
      <c r="N73" s="172"/>
      <c r="O73" s="172"/>
    </row>
    <row r="74" spans="1:22" x14ac:dyDescent="0.25">
      <c r="A74" s="93"/>
      <c r="B74" s="111"/>
      <c r="E74" s="156" t="s">
        <v>203</v>
      </c>
      <c r="F74" s="93" t="str">
        <f>IFERROR(AVERAGE(C68:H68),"")</f>
        <v/>
      </c>
      <c r="G74" s="204">
        <f>1-G72-G73</f>
        <v>1</v>
      </c>
    </row>
    <row r="75" spans="1:22" x14ac:dyDescent="0.25">
      <c r="A75" s="93"/>
      <c r="B75" s="111"/>
    </row>
    <row r="76" spans="1:22" x14ac:dyDescent="0.25">
      <c r="A76" s="93"/>
      <c r="B76" s="111"/>
    </row>
    <row r="77" spans="1:22" x14ac:dyDescent="0.25">
      <c r="A77" s="93"/>
      <c r="B77" s="111"/>
    </row>
    <row r="78" spans="1:22" x14ac:dyDescent="0.25">
      <c r="A78" s="93"/>
      <c r="B78" s="111"/>
    </row>
    <row r="79" spans="1:22" x14ac:dyDescent="0.25">
      <c r="A79" s="96"/>
      <c r="B79" s="112"/>
    </row>
    <row r="80" spans="1:22" x14ac:dyDescent="0.25">
      <c r="A80" s="96"/>
      <c r="B80" s="112"/>
    </row>
    <row r="81" spans="1:2" x14ac:dyDescent="0.25">
      <c r="A81" s="96"/>
      <c r="B81" s="112"/>
    </row>
    <row r="82" spans="1:2" x14ac:dyDescent="0.25">
      <c r="A82" s="96"/>
      <c r="B82" s="112"/>
    </row>
    <row r="83" spans="1:2" x14ac:dyDescent="0.25">
      <c r="A83" s="97"/>
      <c r="B83" s="90"/>
    </row>
    <row r="84" spans="1:2" x14ac:dyDescent="0.25">
      <c r="A84" s="97"/>
      <c r="B84" s="113"/>
    </row>
    <row r="85" spans="1:2" x14ac:dyDescent="0.25">
      <c r="A85" s="97"/>
      <c r="B85" s="90"/>
    </row>
    <row r="86" spans="1:2" x14ac:dyDescent="0.25">
      <c r="A86" s="97"/>
      <c r="B86" s="90"/>
    </row>
    <row r="87" spans="1:2" x14ac:dyDescent="0.25">
      <c r="A87" s="97"/>
      <c r="B87" s="113"/>
    </row>
  </sheetData>
  <sheetProtection sheet="1" objects="1" scenarios="1"/>
  <mergeCells count="1">
    <mergeCell ref="A1:A2"/>
  </mergeCells>
  <dataValidations count="1">
    <dataValidation type="list" allowBlank="1" showInputMessage="1" showErrorMessage="1" sqref="A6:A21" xr:uid="{00000000-0002-0000-0300-000000000000}">
      <formula1>alimentos</formula1>
    </dataValidation>
  </dataValidations>
  <pageMargins left="0.78740157499999996" right="0.78740157499999996" top="0.984251969" bottom="0.984251969" header="0.49212598499999999" footer="0.49212598499999999"/>
  <pageSetup paperSize="9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88"/>
  <sheetViews>
    <sheetView zoomScale="80" zoomScaleNormal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O45" sqref="AO45"/>
    </sheetView>
  </sheetViews>
  <sheetFormatPr defaultRowHeight="16.5" x14ac:dyDescent="0.25"/>
  <cols>
    <col min="1" max="1" width="34.42578125" style="77" bestFit="1" customWidth="1"/>
    <col min="2" max="4" width="13.28515625" style="87" customWidth="1"/>
    <col min="5" max="5" width="13.28515625" style="113" customWidth="1"/>
    <col min="6" max="6" width="13.28515625" style="87" customWidth="1"/>
    <col min="7" max="7" width="13.28515625" style="113" customWidth="1"/>
    <col min="8" max="8" width="13.28515625" style="90" customWidth="1"/>
    <col min="9" max="10" width="13.28515625" style="87" customWidth="1"/>
    <col min="11" max="15" width="13.28515625" style="87" hidden="1" customWidth="1"/>
    <col min="16" max="16" width="13.28515625" style="87" customWidth="1"/>
    <col min="17" max="19" width="13.28515625" style="87" hidden="1" customWidth="1"/>
    <col min="20" max="35" width="13.28515625" style="87" customWidth="1"/>
    <col min="36" max="42" width="13.28515625" style="77" customWidth="1"/>
    <col min="43" max="43" width="15.28515625" style="77" bestFit="1" customWidth="1"/>
    <col min="44" max="45" width="13.28515625" style="77" customWidth="1"/>
    <col min="46" max="46" width="9.140625" style="77" hidden="1" customWidth="1"/>
    <col min="47" max="47" width="10.42578125" style="77" customWidth="1"/>
    <col min="48" max="16384" width="9.140625" style="77"/>
  </cols>
  <sheetData>
    <row r="1" spans="1:47" s="72" customFormat="1" ht="18.75" customHeight="1" thickTop="1" x14ac:dyDescent="0.25">
      <c r="A1" s="245" t="s">
        <v>185</v>
      </c>
      <c r="E1" s="73" t="s">
        <v>0</v>
      </c>
      <c r="F1" s="74"/>
      <c r="G1" s="75"/>
      <c r="H1" s="76"/>
      <c r="I1" s="75"/>
      <c r="J1" s="77"/>
      <c r="K1" s="77"/>
      <c r="L1" s="78"/>
      <c r="M1" s="77"/>
      <c r="N1" s="77"/>
      <c r="O1" s="77"/>
      <c r="P1" s="77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1"/>
      <c r="AU1" s="81"/>
    </row>
    <row r="2" spans="1:47" s="72" customFormat="1" ht="17.25" customHeight="1" thickBot="1" x14ac:dyDescent="0.3">
      <c r="A2" s="246"/>
      <c r="C2" s="75"/>
      <c r="D2" s="82"/>
      <c r="E2" s="75" t="s">
        <v>310</v>
      </c>
      <c r="F2" s="83"/>
      <c r="G2" s="75"/>
      <c r="H2" s="76"/>
      <c r="I2" s="84"/>
      <c r="J2" s="85"/>
      <c r="K2" s="77"/>
      <c r="L2" s="86"/>
      <c r="M2" s="77"/>
      <c r="N2" s="77"/>
      <c r="O2" s="77"/>
      <c r="P2" s="7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77"/>
      <c r="AK2" s="77"/>
      <c r="AL2" s="77"/>
      <c r="AM2" s="77"/>
      <c r="AN2" s="77"/>
      <c r="AO2" s="77"/>
      <c r="AP2" s="77"/>
      <c r="AQ2" s="77"/>
      <c r="AR2" s="77"/>
      <c r="AS2" s="77"/>
    </row>
    <row r="3" spans="1:47" s="72" customFormat="1" ht="17.25" thickTop="1" x14ac:dyDescent="0.25">
      <c r="A3" s="88"/>
      <c r="B3" s="89"/>
      <c r="C3" s="85"/>
      <c r="D3" s="75"/>
      <c r="E3" s="77"/>
      <c r="F3" s="77"/>
      <c r="G3" s="77"/>
      <c r="H3" s="90"/>
      <c r="I3" s="77"/>
      <c r="J3" s="75"/>
      <c r="K3" s="91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77"/>
      <c r="AK3" s="77"/>
      <c r="AL3" s="77"/>
      <c r="AM3" s="77"/>
      <c r="AN3" s="77"/>
      <c r="AO3" s="77"/>
      <c r="AP3" s="77"/>
      <c r="AQ3" s="77"/>
      <c r="AR3" s="77"/>
      <c r="AS3" s="77"/>
    </row>
    <row r="4" spans="1:47" s="98" customFormat="1" x14ac:dyDescent="0.25">
      <c r="A4" s="92" t="s">
        <v>1</v>
      </c>
      <c r="B4" s="85" t="s">
        <v>108</v>
      </c>
      <c r="C4" s="85"/>
      <c r="D4" s="85"/>
      <c r="E4" s="93" t="s">
        <v>2</v>
      </c>
      <c r="F4" s="93" t="s">
        <v>3</v>
      </c>
      <c r="G4" s="93" t="s">
        <v>3</v>
      </c>
      <c r="H4" s="93" t="s">
        <v>3</v>
      </c>
      <c r="I4" s="93" t="s">
        <v>3</v>
      </c>
      <c r="J4" s="94" t="s">
        <v>3</v>
      </c>
      <c r="K4" s="94" t="s">
        <v>109</v>
      </c>
      <c r="L4" s="94" t="s">
        <v>109</v>
      </c>
      <c r="M4" s="93" t="s">
        <v>3</v>
      </c>
      <c r="N4" s="93" t="s">
        <v>3</v>
      </c>
      <c r="O4" s="95" t="s">
        <v>4</v>
      </c>
      <c r="P4" s="93" t="s">
        <v>3</v>
      </c>
      <c r="Q4" s="93" t="s">
        <v>3</v>
      </c>
      <c r="R4" s="94" t="s">
        <v>3</v>
      </c>
      <c r="S4" s="93" t="s">
        <v>3</v>
      </c>
      <c r="T4" s="93" t="s">
        <v>3</v>
      </c>
      <c r="U4" s="94" t="s">
        <v>3</v>
      </c>
      <c r="V4" s="94" t="s">
        <v>100</v>
      </c>
      <c r="W4" s="96" t="s">
        <v>3</v>
      </c>
      <c r="X4" s="96" t="s">
        <v>3</v>
      </c>
      <c r="Y4" s="96" t="s">
        <v>3</v>
      </c>
      <c r="Z4" s="96" t="s">
        <v>3</v>
      </c>
      <c r="AA4" s="96" t="s">
        <v>3</v>
      </c>
      <c r="AB4" s="96" t="s">
        <v>3</v>
      </c>
      <c r="AC4" s="96" t="s">
        <v>3</v>
      </c>
      <c r="AD4" s="96" t="s">
        <v>3</v>
      </c>
      <c r="AE4" s="96" t="s">
        <v>3</v>
      </c>
      <c r="AF4" s="97" t="s">
        <v>34</v>
      </c>
      <c r="AG4" s="97" t="s">
        <v>34</v>
      </c>
      <c r="AH4" s="97" t="s">
        <v>34</v>
      </c>
      <c r="AI4" s="97" t="s">
        <v>34</v>
      </c>
      <c r="AJ4" s="97" t="s">
        <v>34</v>
      </c>
      <c r="AK4" s="97" t="s">
        <v>34</v>
      </c>
      <c r="AL4" s="97" t="s">
        <v>34</v>
      </c>
      <c r="AM4" s="97" t="s">
        <v>35</v>
      </c>
      <c r="AN4" s="97" t="s">
        <v>35</v>
      </c>
      <c r="AO4" s="97" t="s">
        <v>36</v>
      </c>
      <c r="AP4" s="97" t="s">
        <v>34</v>
      </c>
      <c r="AQ4" s="97" t="s">
        <v>34</v>
      </c>
      <c r="AR4" s="97" t="s">
        <v>34</v>
      </c>
      <c r="AS4" s="97" t="s">
        <v>172</v>
      </c>
    </row>
    <row r="5" spans="1:47" s="98" customFormat="1" ht="17.25" thickBot="1" x14ac:dyDescent="0.3">
      <c r="A5" s="99" t="s">
        <v>5</v>
      </c>
      <c r="B5" s="85" t="s">
        <v>6</v>
      </c>
      <c r="C5" s="85"/>
      <c r="D5" s="85"/>
      <c r="E5" s="93" t="s">
        <v>7</v>
      </c>
      <c r="F5" s="93" t="s">
        <v>8</v>
      </c>
      <c r="G5" s="93" t="s">
        <v>9</v>
      </c>
      <c r="H5" s="93" t="s">
        <v>67</v>
      </c>
      <c r="I5" s="93" t="s">
        <v>10</v>
      </c>
      <c r="J5" s="94" t="s">
        <v>11</v>
      </c>
      <c r="K5" s="94" t="s">
        <v>110</v>
      </c>
      <c r="L5" s="94" t="s">
        <v>111</v>
      </c>
      <c r="M5" s="93" t="s">
        <v>12</v>
      </c>
      <c r="N5" s="93" t="s">
        <v>13</v>
      </c>
      <c r="O5" s="95" t="s">
        <v>14</v>
      </c>
      <c r="P5" s="93" t="s">
        <v>15</v>
      </c>
      <c r="Q5" s="93" t="s">
        <v>16</v>
      </c>
      <c r="R5" s="94" t="s">
        <v>114</v>
      </c>
      <c r="S5" s="93" t="s">
        <v>17</v>
      </c>
      <c r="T5" s="93" t="s">
        <v>18</v>
      </c>
      <c r="U5" s="93" t="s">
        <v>99</v>
      </c>
      <c r="V5" s="94" t="s">
        <v>101</v>
      </c>
      <c r="W5" s="96" t="s">
        <v>19</v>
      </c>
      <c r="X5" s="96" t="s">
        <v>20</v>
      </c>
      <c r="Y5" s="96" t="s">
        <v>21</v>
      </c>
      <c r="Z5" s="96" t="s">
        <v>22</v>
      </c>
      <c r="AA5" s="96" t="s">
        <v>23</v>
      </c>
      <c r="AB5" s="96" t="s">
        <v>24</v>
      </c>
      <c r="AC5" s="96" t="s">
        <v>25</v>
      </c>
      <c r="AD5" s="96" t="s">
        <v>26</v>
      </c>
      <c r="AE5" s="96" t="s">
        <v>27</v>
      </c>
      <c r="AF5" s="97" t="s">
        <v>37</v>
      </c>
      <c r="AG5" s="100" t="s">
        <v>38</v>
      </c>
      <c r="AH5" s="100" t="s">
        <v>41</v>
      </c>
      <c r="AI5" s="100" t="s">
        <v>43</v>
      </c>
      <c r="AJ5" s="100" t="s">
        <v>42</v>
      </c>
      <c r="AK5" s="100" t="s">
        <v>40</v>
      </c>
      <c r="AL5" s="100" t="s">
        <v>39</v>
      </c>
      <c r="AM5" s="100" t="s">
        <v>44</v>
      </c>
      <c r="AN5" s="97" t="s">
        <v>45</v>
      </c>
      <c r="AO5" s="97" t="s">
        <v>46</v>
      </c>
      <c r="AP5" s="97" t="s">
        <v>47</v>
      </c>
      <c r="AQ5" s="97" t="s">
        <v>48</v>
      </c>
      <c r="AR5" s="97" t="s">
        <v>170</v>
      </c>
      <c r="AS5" s="97" t="s">
        <v>171</v>
      </c>
    </row>
    <row r="6" spans="1:47" ht="17.25" thickTop="1" x14ac:dyDescent="0.25">
      <c r="A6" s="101" t="s">
        <v>60</v>
      </c>
      <c r="B6" s="102">
        <f>VLOOKUP($A6,Alimentos!$A:$BA,2,FALSE)</f>
        <v>0</v>
      </c>
      <c r="C6" s="103">
        <f>VLOOKUP($A6,Alimentos!$A:$BA,4,FALSE)</f>
        <v>0</v>
      </c>
      <c r="D6" s="102"/>
      <c r="E6" s="104">
        <f>VLOOKUP($A6,Alimentos!$A:$BA,5,FALSE)</f>
        <v>0</v>
      </c>
      <c r="F6" s="104">
        <f>VLOOKUP($A6,Alimentos!$A:$BA,6,FALSE)</f>
        <v>0</v>
      </c>
      <c r="G6" s="104">
        <f>VLOOKUP($A6,Alimentos!$A:$BA,7,FALSE)</f>
        <v>0</v>
      </c>
      <c r="H6" s="104">
        <f>VLOOKUP($A6,Alimentos!$A:$BA,8,FALSE)</f>
        <v>0</v>
      </c>
      <c r="I6" s="104">
        <f>VLOOKUP($A6,Alimentos!$A:$BA,9,FALSE)</f>
        <v>0</v>
      </c>
      <c r="J6" s="104">
        <f>VLOOKUP($A6,Alimentos!$A:$BA,10,FALSE)</f>
        <v>0</v>
      </c>
      <c r="K6" s="104">
        <f>VLOOKUP($A6,Alimentos!$A:$BA,11,FALSE)</f>
        <v>0</v>
      </c>
      <c r="L6" s="104">
        <f>VLOOKUP($A6,Alimentos!$A:$BA,12,FALSE)</f>
        <v>0</v>
      </c>
      <c r="M6" s="104">
        <f>VLOOKUP($A6,Alimentos!$A:$BA,13,FALSE)</f>
        <v>0</v>
      </c>
      <c r="N6" s="104">
        <f>VLOOKUP($A6,Alimentos!$A:$BA,14,FALSE)</f>
        <v>0</v>
      </c>
      <c r="O6" s="105">
        <f>VLOOKUP($A6,Alimentos!$A:$BA,15,FALSE)</f>
        <v>0</v>
      </c>
      <c r="P6" s="104">
        <f>VLOOKUP($A6,Alimentos!$A:$BA,16,FALSE)</f>
        <v>0</v>
      </c>
      <c r="Q6" s="104">
        <f>VLOOKUP($A6,Alimentos!$A:$BA,17,FALSE)</f>
        <v>0</v>
      </c>
      <c r="R6" s="104">
        <f>VLOOKUP($A6,Alimentos!$A:$BA,18,FALSE)</f>
        <v>0</v>
      </c>
      <c r="S6" s="104">
        <f>VLOOKUP($A6,Alimentos!$A:$BA,19,FALSE)</f>
        <v>0</v>
      </c>
      <c r="T6" s="104">
        <f>VLOOKUP($A6,Alimentos!$A:$BA,20,FALSE)</f>
        <v>0</v>
      </c>
      <c r="U6" s="104">
        <f>VLOOKUP($A6,Alimentos!$A:$BA,21,FALSE)</f>
        <v>0</v>
      </c>
      <c r="V6" s="104">
        <f>VLOOKUP($A6,Alimentos!$A:$BA,22,FALSE)</f>
        <v>0</v>
      </c>
      <c r="W6" s="106">
        <f>VLOOKUP($A6,Alimentos!$A:$BA,23,FALSE)</f>
        <v>0</v>
      </c>
      <c r="X6" s="106">
        <f>VLOOKUP($A6,Alimentos!$A:$BA,24,FALSE)</f>
        <v>0</v>
      </c>
      <c r="Y6" s="106">
        <f>VLOOKUP($A6,Alimentos!$A:$BA,25,FALSE)</f>
        <v>0</v>
      </c>
      <c r="Z6" s="106">
        <f>VLOOKUP($A6,Alimentos!$A:$BA,26,FALSE)</f>
        <v>0</v>
      </c>
      <c r="AA6" s="106">
        <f>VLOOKUP($A6,Alimentos!$A:$BA,27,FALSE)</f>
        <v>0</v>
      </c>
      <c r="AB6" s="106">
        <f>VLOOKUP($A6,Alimentos!$A:$BA,28,FALSE)</f>
        <v>0</v>
      </c>
      <c r="AC6" s="106">
        <f>VLOOKUP($A6,Alimentos!$A:$BA,29,FALSE)</f>
        <v>0</v>
      </c>
      <c r="AD6" s="106">
        <f>VLOOKUP($A6,Alimentos!$A:$BA,30,FALSE)</f>
        <v>0</v>
      </c>
      <c r="AE6" s="106">
        <f>VLOOKUP($A6,Alimentos!$A:$BA,31,FALSE)</f>
        <v>0</v>
      </c>
      <c r="AF6" s="107">
        <f>VLOOKUP($A6,Alimentos!$A:$BA,32,FALSE)</f>
        <v>0</v>
      </c>
      <c r="AG6" s="107">
        <f>VLOOKUP($A6,Alimentos!$A:$BA,33,FALSE)</f>
        <v>0</v>
      </c>
      <c r="AH6" s="107">
        <f>VLOOKUP($A6,Alimentos!$A:$BA,34,FALSE)</f>
        <v>0</v>
      </c>
      <c r="AI6" s="107">
        <f>VLOOKUP($A6,Alimentos!$A:$BA,35,FALSE)</f>
        <v>0</v>
      </c>
      <c r="AJ6" s="107">
        <f>VLOOKUP($A6,Alimentos!$A:$BA,36,FALSE)</f>
        <v>0</v>
      </c>
      <c r="AK6" s="107">
        <f>VLOOKUP($A6,Alimentos!$A:$BA,37,FALSE)</f>
        <v>0</v>
      </c>
      <c r="AL6" s="107">
        <f>VLOOKUP($A6,Alimentos!$A:$BA,38,FALSE)</f>
        <v>0</v>
      </c>
      <c r="AM6" s="107">
        <f>VLOOKUP($A6,Alimentos!$A:$BA,39,FALSE)</f>
        <v>0</v>
      </c>
      <c r="AN6" s="107">
        <f>VLOOKUP($A6,Alimentos!$A:$BA,40,FALSE)</f>
        <v>0</v>
      </c>
      <c r="AO6" s="107">
        <f>VLOOKUP($A6,Alimentos!$A:$BA,41,FALSE)</f>
        <v>0</v>
      </c>
      <c r="AP6" s="107">
        <f>VLOOKUP($A6,Alimentos!$A:$BA,42,FALSE)</f>
        <v>0</v>
      </c>
      <c r="AQ6" s="107">
        <f>VLOOKUP($A6,Alimentos!$A:$BA,43,FALSE)</f>
        <v>0</v>
      </c>
      <c r="AR6" s="107">
        <f>VLOOKUP($A6,Alimentos!$A:$BA,44,FALSE)</f>
        <v>0</v>
      </c>
      <c r="AS6" s="107">
        <f>VLOOKUP($A6,Alimentos!$A:$BA,45,FALSE)</f>
        <v>0</v>
      </c>
    </row>
    <row r="7" spans="1:47" x14ac:dyDescent="0.25">
      <c r="A7" s="108" t="s">
        <v>60</v>
      </c>
      <c r="B7" s="109">
        <f>VLOOKUP($A7,Alimentos!$A:$BA,2,FALSE)</f>
        <v>0</v>
      </c>
      <c r="C7" s="110">
        <f>VLOOKUP($A7,Alimentos!$A:$BA,4,FALSE)</f>
        <v>0</v>
      </c>
      <c r="D7" s="109"/>
      <c r="E7" s="111">
        <f>VLOOKUP($A7,Alimentos!$A:$BA,5,FALSE)</f>
        <v>0</v>
      </c>
      <c r="F7" s="111">
        <f>VLOOKUP($A7,Alimentos!$A:$BA,6,FALSE)</f>
        <v>0</v>
      </c>
      <c r="G7" s="111">
        <f>VLOOKUP($A7,Alimentos!$A:$BA,7,FALSE)</f>
        <v>0</v>
      </c>
      <c r="H7" s="111">
        <f>VLOOKUP($A7,Alimentos!$A:$BA,8,FALSE)</f>
        <v>0</v>
      </c>
      <c r="I7" s="111">
        <f>VLOOKUP($A7,Alimentos!$A:$BA,9,FALSE)</f>
        <v>0</v>
      </c>
      <c r="J7" s="111">
        <f>VLOOKUP($A7,Alimentos!$A:$BA,10,FALSE)</f>
        <v>0</v>
      </c>
      <c r="K7" s="111">
        <f>VLOOKUP($A7,Alimentos!$A:$BA,11,FALSE)</f>
        <v>0</v>
      </c>
      <c r="L7" s="111">
        <f>VLOOKUP($A7,Alimentos!$A:$BA,12,FALSE)</f>
        <v>0</v>
      </c>
      <c r="M7" s="111">
        <f>VLOOKUP($A7,Alimentos!$A:$BA,13,FALSE)</f>
        <v>0</v>
      </c>
      <c r="N7" s="111">
        <f>VLOOKUP($A7,Alimentos!$A:$BA,14,FALSE)</f>
        <v>0</v>
      </c>
      <c r="O7" s="90">
        <f>VLOOKUP($A7,Alimentos!$A:$BA,15,FALSE)</f>
        <v>0</v>
      </c>
      <c r="P7" s="111">
        <f>VLOOKUP($A7,Alimentos!$A:$BA,16,FALSE)</f>
        <v>0</v>
      </c>
      <c r="Q7" s="111">
        <f>VLOOKUP($A7,Alimentos!$A:$BA,17,FALSE)</f>
        <v>0</v>
      </c>
      <c r="R7" s="111">
        <f>VLOOKUP($A7,Alimentos!$A:$BA,18,FALSE)</f>
        <v>0</v>
      </c>
      <c r="S7" s="111">
        <f>VLOOKUP($A7,Alimentos!$A:$BA,19,FALSE)</f>
        <v>0</v>
      </c>
      <c r="T7" s="111">
        <f>VLOOKUP($A7,Alimentos!$A:$BA,20,FALSE)</f>
        <v>0</v>
      </c>
      <c r="U7" s="111">
        <f>VLOOKUP($A7,Alimentos!$A:$BA,21,FALSE)</f>
        <v>0</v>
      </c>
      <c r="V7" s="111">
        <f>VLOOKUP($A7,Alimentos!$A:$BA,22,FALSE)</f>
        <v>0</v>
      </c>
      <c r="W7" s="112">
        <f>VLOOKUP($A7,Alimentos!$A:$BA,23,FALSE)</f>
        <v>0</v>
      </c>
      <c r="X7" s="112">
        <f>VLOOKUP($A7,Alimentos!$A:$BA,24,FALSE)</f>
        <v>0</v>
      </c>
      <c r="Y7" s="112">
        <f>VLOOKUP($A7,Alimentos!$A:$BA,25,FALSE)</f>
        <v>0</v>
      </c>
      <c r="Z7" s="112">
        <f>VLOOKUP($A7,Alimentos!$A:$BA,26,FALSE)</f>
        <v>0</v>
      </c>
      <c r="AA7" s="112">
        <f>VLOOKUP($A7,Alimentos!$A:$BA,27,FALSE)</f>
        <v>0</v>
      </c>
      <c r="AB7" s="112">
        <f>VLOOKUP($A7,Alimentos!$A:$BA,28,FALSE)</f>
        <v>0</v>
      </c>
      <c r="AC7" s="112">
        <f>VLOOKUP($A7,Alimentos!$A:$BA,29,FALSE)</f>
        <v>0</v>
      </c>
      <c r="AD7" s="112">
        <f>VLOOKUP($A7,Alimentos!$A:$BA,30,FALSE)</f>
        <v>0</v>
      </c>
      <c r="AE7" s="112">
        <f>VLOOKUP($A7,Alimentos!$A:$BA,31,FALSE)</f>
        <v>0</v>
      </c>
      <c r="AF7" s="113">
        <f>VLOOKUP($A7,Alimentos!$A:$BA,32,FALSE)</f>
        <v>0</v>
      </c>
      <c r="AG7" s="113">
        <f>VLOOKUP($A7,Alimentos!$A:$BA,33,FALSE)</f>
        <v>0</v>
      </c>
      <c r="AH7" s="113">
        <f>VLOOKUP($A7,Alimentos!$A:$BA,34,FALSE)</f>
        <v>0</v>
      </c>
      <c r="AI7" s="113">
        <f>VLOOKUP($A7,Alimentos!$A:$BA,35,FALSE)</f>
        <v>0</v>
      </c>
      <c r="AJ7" s="113">
        <f>VLOOKUP($A7,Alimentos!$A:$BA,36,FALSE)</f>
        <v>0</v>
      </c>
      <c r="AK7" s="113">
        <f>VLOOKUP($A7,Alimentos!$A:$BA,37,FALSE)</f>
        <v>0</v>
      </c>
      <c r="AL7" s="113">
        <f>VLOOKUP($A7,Alimentos!$A:$BA,38,FALSE)</f>
        <v>0</v>
      </c>
      <c r="AM7" s="113">
        <f>VLOOKUP($A7,Alimentos!$A:$BA,39,FALSE)</f>
        <v>0</v>
      </c>
      <c r="AN7" s="113">
        <f>VLOOKUP($A7,Alimentos!$A:$BA,40,FALSE)</f>
        <v>0</v>
      </c>
      <c r="AO7" s="113">
        <f>VLOOKUP($A7,Alimentos!$A:$BA,41,FALSE)</f>
        <v>0</v>
      </c>
      <c r="AP7" s="113">
        <f>VLOOKUP($A7,Alimentos!$A:$BA,42,FALSE)</f>
        <v>0</v>
      </c>
      <c r="AQ7" s="113">
        <f>VLOOKUP($A7,Alimentos!$A:$BA,43,FALSE)</f>
        <v>0</v>
      </c>
      <c r="AR7" s="113">
        <f>VLOOKUP($A7,Alimentos!$A:$BA,44,FALSE)</f>
        <v>0</v>
      </c>
      <c r="AS7" s="113">
        <f>VLOOKUP($A7,Alimentos!$A:$BA,45,FALSE)</f>
        <v>0</v>
      </c>
    </row>
    <row r="8" spans="1:47" x14ac:dyDescent="0.25">
      <c r="A8" s="108" t="s">
        <v>60</v>
      </c>
      <c r="B8" s="109">
        <f>VLOOKUP($A8,Alimentos!$A:$BA,2,FALSE)</f>
        <v>0</v>
      </c>
      <c r="C8" s="114">
        <f>VLOOKUP($A8,Alimentos!$A:$BA,4,FALSE)</f>
        <v>0</v>
      </c>
      <c r="E8" s="111">
        <f>VLOOKUP($A8,Alimentos!$A:$BA,5,FALSE)</f>
        <v>0</v>
      </c>
      <c r="F8" s="111">
        <f>VLOOKUP($A8,Alimentos!$A:$BA,6,FALSE)</f>
        <v>0</v>
      </c>
      <c r="G8" s="111">
        <f>VLOOKUP($A8,Alimentos!$A:$BA,7,FALSE)</f>
        <v>0</v>
      </c>
      <c r="H8" s="111">
        <f>VLOOKUP($A8,Alimentos!$A:$BA,8,FALSE)</f>
        <v>0</v>
      </c>
      <c r="I8" s="111">
        <f>VLOOKUP($A8,Alimentos!$A:$BA,9,FALSE)</f>
        <v>0</v>
      </c>
      <c r="J8" s="111">
        <f>VLOOKUP($A8,Alimentos!$A:$BA,10,FALSE)</f>
        <v>0</v>
      </c>
      <c r="K8" s="111">
        <f>VLOOKUP($A8,Alimentos!$A:$BA,11,FALSE)</f>
        <v>0</v>
      </c>
      <c r="L8" s="111">
        <f>VLOOKUP($A8,Alimentos!$A:$BA,12,FALSE)</f>
        <v>0</v>
      </c>
      <c r="M8" s="111">
        <f>VLOOKUP($A8,Alimentos!$A:$BA,13,FALSE)</f>
        <v>0</v>
      </c>
      <c r="N8" s="111">
        <f>VLOOKUP($A8,Alimentos!$A:$BA,14,FALSE)</f>
        <v>0</v>
      </c>
      <c r="O8" s="90">
        <f>VLOOKUP($A8,Alimentos!$A:$BA,15,FALSE)</f>
        <v>0</v>
      </c>
      <c r="P8" s="111">
        <f>VLOOKUP($A8,Alimentos!$A:$BA,16,FALSE)</f>
        <v>0</v>
      </c>
      <c r="Q8" s="111">
        <f>VLOOKUP($A8,Alimentos!$A:$BA,17,FALSE)</f>
        <v>0</v>
      </c>
      <c r="R8" s="111">
        <f>VLOOKUP($A8,Alimentos!$A:$BA,18,FALSE)</f>
        <v>0</v>
      </c>
      <c r="S8" s="111">
        <f>VLOOKUP($A8,Alimentos!$A:$BA,19,FALSE)</f>
        <v>0</v>
      </c>
      <c r="T8" s="111">
        <f>VLOOKUP($A8,Alimentos!$A:$BA,20,FALSE)</f>
        <v>0</v>
      </c>
      <c r="U8" s="111">
        <f>VLOOKUP($A8,Alimentos!$A:$BA,21,FALSE)</f>
        <v>0</v>
      </c>
      <c r="V8" s="111">
        <f>VLOOKUP($A8,Alimentos!$A:$BA,22,FALSE)</f>
        <v>0</v>
      </c>
      <c r="W8" s="112">
        <f>VLOOKUP($A8,Alimentos!$A:$BA,23,FALSE)</f>
        <v>0</v>
      </c>
      <c r="X8" s="112">
        <f>VLOOKUP($A8,Alimentos!$A:$BA,24,FALSE)</f>
        <v>0</v>
      </c>
      <c r="Y8" s="112">
        <f>VLOOKUP($A8,Alimentos!$A:$BA,25,FALSE)</f>
        <v>0</v>
      </c>
      <c r="Z8" s="112">
        <f>VLOOKUP($A8,Alimentos!$A:$BA,26,FALSE)</f>
        <v>0</v>
      </c>
      <c r="AA8" s="112">
        <f>VLOOKUP($A8,Alimentos!$A:$BA,27,FALSE)</f>
        <v>0</v>
      </c>
      <c r="AB8" s="112">
        <f>VLOOKUP($A8,Alimentos!$A:$BA,28,FALSE)</f>
        <v>0</v>
      </c>
      <c r="AC8" s="112">
        <f>VLOOKUP($A8,Alimentos!$A:$BA,29,FALSE)</f>
        <v>0</v>
      </c>
      <c r="AD8" s="112">
        <f>VLOOKUP($A8,Alimentos!$A:$BA,30,FALSE)</f>
        <v>0</v>
      </c>
      <c r="AE8" s="112">
        <f>VLOOKUP($A8,Alimentos!$A:$BA,31,FALSE)</f>
        <v>0</v>
      </c>
      <c r="AF8" s="113">
        <f>VLOOKUP($A8,Alimentos!$A:$BA,32,FALSE)</f>
        <v>0</v>
      </c>
      <c r="AG8" s="113">
        <f>VLOOKUP($A8,Alimentos!$A:$BA,33,FALSE)</f>
        <v>0</v>
      </c>
      <c r="AH8" s="113">
        <f>VLOOKUP($A8,Alimentos!$A:$BA,34,FALSE)</f>
        <v>0</v>
      </c>
      <c r="AI8" s="113">
        <f>VLOOKUP($A8,Alimentos!$A:$BA,35,FALSE)</f>
        <v>0</v>
      </c>
      <c r="AJ8" s="113">
        <f>VLOOKUP($A8,Alimentos!$A:$BA,36,FALSE)</f>
        <v>0</v>
      </c>
      <c r="AK8" s="113">
        <f>VLOOKUP($A8,Alimentos!$A:$BA,37,FALSE)</f>
        <v>0</v>
      </c>
      <c r="AL8" s="113">
        <f>VLOOKUP($A8,Alimentos!$A:$BA,38,FALSE)</f>
        <v>0</v>
      </c>
      <c r="AM8" s="113">
        <f>VLOOKUP($A8,Alimentos!$A:$BA,39,FALSE)</f>
        <v>0</v>
      </c>
      <c r="AN8" s="113">
        <f>VLOOKUP($A8,Alimentos!$A:$BA,40,FALSE)</f>
        <v>0</v>
      </c>
      <c r="AO8" s="113">
        <f>VLOOKUP($A8,Alimentos!$A:$BA,41,FALSE)</f>
        <v>0</v>
      </c>
      <c r="AP8" s="113">
        <f>VLOOKUP($A8,Alimentos!$A:$BA,42,FALSE)</f>
        <v>0</v>
      </c>
      <c r="AQ8" s="113">
        <f>VLOOKUP($A8,Alimentos!$A:$BA,43,FALSE)</f>
        <v>0</v>
      </c>
      <c r="AR8" s="113">
        <f>VLOOKUP($A8,Alimentos!$A:$BA,44,FALSE)</f>
        <v>0</v>
      </c>
      <c r="AS8" s="113">
        <f>VLOOKUP($A8,Alimentos!$A:$BA,45,FALSE)</f>
        <v>0</v>
      </c>
    </row>
    <row r="9" spans="1:47" x14ac:dyDescent="0.25">
      <c r="A9" s="108" t="s">
        <v>60</v>
      </c>
      <c r="B9" s="109">
        <f>VLOOKUP($A9,Alimentos!$A:$BA,2,FALSE)</f>
        <v>0</v>
      </c>
      <c r="C9" s="114">
        <f>VLOOKUP($A9,Alimentos!$A:$BA,4,FALSE)</f>
        <v>0</v>
      </c>
      <c r="E9" s="111">
        <f>VLOOKUP($A9,Alimentos!$A:$BA,5,FALSE)</f>
        <v>0</v>
      </c>
      <c r="F9" s="111">
        <f>VLOOKUP($A9,Alimentos!$A:$BA,6,FALSE)</f>
        <v>0</v>
      </c>
      <c r="G9" s="111">
        <f>VLOOKUP($A9,Alimentos!$A:$BA,7,FALSE)</f>
        <v>0</v>
      </c>
      <c r="H9" s="111">
        <f>VLOOKUP($A9,Alimentos!$A:$BA,8,FALSE)</f>
        <v>0</v>
      </c>
      <c r="I9" s="111">
        <f>VLOOKUP($A9,Alimentos!$A:$BA,9,FALSE)</f>
        <v>0</v>
      </c>
      <c r="J9" s="111">
        <f>VLOOKUP($A9,Alimentos!$A:$BA,10,FALSE)</f>
        <v>0</v>
      </c>
      <c r="K9" s="111">
        <f>VLOOKUP($A9,Alimentos!$A:$BA,11,FALSE)</f>
        <v>0</v>
      </c>
      <c r="L9" s="111">
        <f>VLOOKUP($A9,Alimentos!$A:$BA,12,FALSE)</f>
        <v>0</v>
      </c>
      <c r="M9" s="111">
        <f>VLOOKUP($A9,Alimentos!$A:$BA,13,FALSE)</f>
        <v>0</v>
      </c>
      <c r="N9" s="111">
        <f>VLOOKUP($A9,Alimentos!$A:$BA,14,FALSE)</f>
        <v>0</v>
      </c>
      <c r="O9" s="90">
        <f>VLOOKUP($A9,Alimentos!$A:$BA,15,FALSE)</f>
        <v>0</v>
      </c>
      <c r="P9" s="111">
        <f>VLOOKUP($A9,Alimentos!$A:$BA,16,FALSE)</f>
        <v>0</v>
      </c>
      <c r="Q9" s="111">
        <f>VLOOKUP($A9,Alimentos!$A:$BA,17,FALSE)</f>
        <v>0</v>
      </c>
      <c r="R9" s="111">
        <f>VLOOKUP($A9,Alimentos!$A:$BA,18,FALSE)</f>
        <v>0</v>
      </c>
      <c r="S9" s="111">
        <f>VLOOKUP($A9,Alimentos!$A:$BA,19,FALSE)</f>
        <v>0</v>
      </c>
      <c r="T9" s="111">
        <f>VLOOKUP($A9,Alimentos!$A:$BA,20,FALSE)</f>
        <v>0</v>
      </c>
      <c r="U9" s="111">
        <f>VLOOKUP($A9,Alimentos!$A:$BA,21,FALSE)</f>
        <v>0</v>
      </c>
      <c r="V9" s="111">
        <f>VLOOKUP($A9,Alimentos!$A:$BA,22,FALSE)</f>
        <v>0</v>
      </c>
      <c r="W9" s="112">
        <f>VLOOKUP($A9,Alimentos!$A:$BA,23,FALSE)</f>
        <v>0</v>
      </c>
      <c r="X9" s="112">
        <f>VLOOKUP($A9,Alimentos!$A:$BA,24,FALSE)</f>
        <v>0</v>
      </c>
      <c r="Y9" s="112">
        <f>VLOOKUP($A9,Alimentos!$A:$BA,25,FALSE)</f>
        <v>0</v>
      </c>
      <c r="Z9" s="112">
        <f>VLOOKUP($A9,Alimentos!$A:$BA,26,FALSE)</f>
        <v>0</v>
      </c>
      <c r="AA9" s="112">
        <f>VLOOKUP($A9,Alimentos!$A:$BA,27,FALSE)</f>
        <v>0</v>
      </c>
      <c r="AB9" s="112">
        <f>VLOOKUP($A9,Alimentos!$A:$BA,28,FALSE)</f>
        <v>0</v>
      </c>
      <c r="AC9" s="112">
        <f>VLOOKUP($A9,Alimentos!$A:$BA,29,FALSE)</f>
        <v>0</v>
      </c>
      <c r="AD9" s="112">
        <f>VLOOKUP($A9,Alimentos!$A:$BA,30,FALSE)</f>
        <v>0</v>
      </c>
      <c r="AE9" s="112">
        <f>VLOOKUP($A9,Alimentos!$A:$BA,31,FALSE)</f>
        <v>0</v>
      </c>
      <c r="AF9" s="113">
        <f>VLOOKUP($A9,Alimentos!$A:$BA,32,FALSE)</f>
        <v>0</v>
      </c>
      <c r="AG9" s="113">
        <f>VLOOKUP($A9,Alimentos!$A:$BA,33,FALSE)</f>
        <v>0</v>
      </c>
      <c r="AH9" s="113">
        <f>VLOOKUP($A9,Alimentos!$A:$BA,34,FALSE)</f>
        <v>0</v>
      </c>
      <c r="AI9" s="113">
        <f>VLOOKUP($A9,Alimentos!$A:$BA,35,FALSE)</f>
        <v>0</v>
      </c>
      <c r="AJ9" s="113">
        <f>VLOOKUP($A9,Alimentos!$A:$BA,36,FALSE)</f>
        <v>0</v>
      </c>
      <c r="AK9" s="113">
        <f>VLOOKUP($A9,Alimentos!$A:$BA,37,FALSE)</f>
        <v>0</v>
      </c>
      <c r="AL9" s="113">
        <f>VLOOKUP($A9,Alimentos!$A:$BA,38,FALSE)</f>
        <v>0</v>
      </c>
      <c r="AM9" s="113">
        <f>VLOOKUP($A9,Alimentos!$A:$BA,39,FALSE)</f>
        <v>0</v>
      </c>
      <c r="AN9" s="113">
        <f>VLOOKUP($A9,Alimentos!$A:$BA,40,FALSE)</f>
        <v>0</v>
      </c>
      <c r="AO9" s="113">
        <f>VLOOKUP($A9,Alimentos!$A:$BA,41,FALSE)</f>
        <v>0</v>
      </c>
      <c r="AP9" s="113">
        <f>VLOOKUP($A9,Alimentos!$A:$BA,42,FALSE)</f>
        <v>0</v>
      </c>
      <c r="AQ9" s="113">
        <f>VLOOKUP($A9,Alimentos!$A:$BA,43,FALSE)</f>
        <v>0</v>
      </c>
      <c r="AR9" s="113">
        <f>VLOOKUP($A9,Alimentos!$A:$BA,44,FALSE)</f>
        <v>0</v>
      </c>
      <c r="AS9" s="113">
        <f>VLOOKUP($A9,Alimentos!$A:$BA,45,FALSE)</f>
        <v>0</v>
      </c>
    </row>
    <row r="10" spans="1:47" x14ac:dyDescent="0.25">
      <c r="A10" s="108" t="s">
        <v>60</v>
      </c>
      <c r="B10" s="109">
        <f>VLOOKUP($A10,Alimentos!$A:$BA,2,FALSE)</f>
        <v>0</v>
      </c>
      <c r="C10" s="114">
        <f>VLOOKUP($A10,Alimentos!$A:$BA,4,FALSE)</f>
        <v>0</v>
      </c>
      <c r="E10" s="111">
        <f>VLOOKUP($A10,Alimentos!$A:$BA,5,FALSE)</f>
        <v>0</v>
      </c>
      <c r="F10" s="111">
        <f>VLOOKUP($A10,Alimentos!$A:$BA,6,FALSE)</f>
        <v>0</v>
      </c>
      <c r="G10" s="111">
        <f>VLOOKUP($A10,Alimentos!$A:$BA,7,FALSE)</f>
        <v>0</v>
      </c>
      <c r="H10" s="111">
        <f>VLOOKUP($A10,Alimentos!$A:$BA,8,FALSE)</f>
        <v>0</v>
      </c>
      <c r="I10" s="111">
        <f>VLOOKUP($A10,Alimentos!$A:$BA,9,FALSE)</f>
        <v>0</v>
      </c>
      <c r="J10" s="111">
        <f>VLOOKUP($A10,Alimentos!$A:$BA,10,FALSE)</f>
        <v>0</v>
      </c>
      <c r="K10" s="111">
        <f>VLOOKUP($A10,Alimentos!$A:$BA,11,FALSE)</f>
        <v>0</v>
      </c>
      <c r="L10" s="111">
        <f>VLOOKUP($A10,Alimentos!$A:$BA,12,FALSE)</f>
        <v>0</v>
      </c>
      <c r="M10" s="111">
        <f>VLOOKUP($A10,Alimentos!$A:$BA,13,FALSE)</f>
        <v>0</v>
      </c>
      <c r="N10" s="111">
        <f>VLOOKUP($A10,Alimentos!$A:$BA,14,FALSE)</f>
        <v>0</v>
      </c>
      <c r="O10" s="90">
        <f>VLOOKUP($A10,Alimentos!$A:$BA,15,FALSE)</f>
        <v>0</v>
      </c>
      <c r="P10" s="111">
        <f>VLOOKUP($A10,Alimentos!$A:$BA,16,FALSE)</f>
        <v>0</v>
      </c>
      <c r="Q10" s="111">
        <f>VLOOKUP($A10,Alimentos!$A:$BA,17,FALSE)</f>
        <v>0</v>
      </c>
      <c r="R10" s="111">
        <f>VLOOKUP($A10,Alimentos!$A:$BA,18,FALSE)</f>
        <v>0</v>
      </c>
      <c r="S10" s="111">
        <f>VLOOKUP($A10,Alimentos!$A:$BA,19,FALSE)</f>
        <v>0</v>
      </c>
      <c r="T10" s="111">
        <f>VLOOKUP($A10,Alimentos!$A:$BA,20,FALSE)</f>
        <v>0</v>
      </c>
      <c r="U10" s="111">
        <f>VLOOKUP($A10,Alimentos!$A:$BA,21,FALSE)</f>
        <v>0</v>
      </c>
      <c r="V10" s="111">
        <f>VLOOKUP($A10,Alimentos!$A:$BA,22,FALSE)</f>
        <v>0</v>
      </c>
      <c r="W10" s="112">
        <f>VLOOKUP($A10,Alimentos!$A:$BA,23,FALSE)</f>
        <v>0</v>
      </c>
      <c r="X10" s="112">
        <f>VLOOKUP($A10,Alimentos!$A:$BA,24,FALSE)</f>
        <v>0</v>
      </c>
      <c r="Y10" s="112">
        <f>VLOOKUP($A10,Alimentos!$A:$BA,25,FALSE)</f>
        <v>0</v>
      </c>
      <c r="Z10" s="112">
        <f>VLOOKUP($A10,Alimentos!$A:$BA,26,FALSE)</f>
        <v>0</v>
      </c>
      <c r="AA10" s="112">
        <f>VLOOKUP($A10,Alimentos!$A:$BA,27,FALSE)</f>
        <v>0</v>
      </c>
      <c r="AB10" s="112">
        <f>VLOOKUP($A10,Alimentos!$A:$BA,28,FALSE)</f>
        <v>0</v>
      </c>
      <c r="AC10" s="112">
        <f>VLOOKUP($A10,Alimentos!$A:$BA,29,FALSE)</f>
        <v>0</v>
      </c>
      <c r="AD10" s="112">
        <f>VLOOKUP($A10,Alimentos!$A:$BA,30,FALSE)</f>
        <v>0</v>
      </c>
      <c r="AE10" s="112">
        <f>VLOOKUP($A10,Alimentos!$A:$BA,31,FALSE)</f>
        <v>0</v>
      </c>
      <c r="AF10" s="113">
        <f>VLOOKUP($A10,Alimentos!$A:$BA,32,FALSE)</f>
        <v>0</v>
      </c>
      <c r="AG10" s="113">
        <f>VLOOKUP($A10,Alimentos!$A:$BA,33,FALSE)</f>
        <v>0</v>
      </c>
      <c r="AH10" s="113">
        <f>VLOOKUP($A10,Alimentos!$A:$BA,34,FALSE)</f>
        <v>0</v>
      </c>
      <c r="AI10" s="113">
        <f>VLOOKUP($A10,Alimentos!$A:$BA,35,FALSE)</f>
        <v>0</v>
      </c>
      <c r="AJ10" s="113">
        <f>VLOOKUP($A10,Alimentos!$A:$BA,36,FALSE)</f>
        <v>0</v>
      </c>
      <c r="AK10" s="113">
        <f>VLOOKUP($A10,Alimentos!$A:$BA,37,FALSE)</f>
        <v>0</v>
      </c>
      <c r="AL10" s="113">
        <f>VLOOKUP($A10,Alimentos!$A:$BA,38,FALSE)</f>
        <v>0</v>
      </c>
      <c r="AM10" s="113">
        <f>VLOOKUP($A10,Alimentos!$A:$BA,39,FALSE)</f>
        <v>0</v>
      </c>
      <c r="AN10" s="113">
        <f>VLOOKUP($A10,Alimentos!$A:$BA,40,FALSE)</f>
        <v>0</v>
      </c>
      <c r="AO10" s="113">
        <f>VLOOKUP($A10,Alimentos!$A:$BA,41,FALSE)</f>
        <v>0</v>
      </c>
      <c r="AP10" s="113">
        <f>VLOOKUP($A10,Alimentos!$A:$BA,42,FALSE)</f>
        <v>0</v>
      </c>
      <c r="AQ10" s="113">
        <f>VLOOKUP($A10,Alimentos!$A:$BA,43,FALSE)</f>
        <v>0</v>
      </c>
      <c r="AR10" s="113">
        <f>VLOOKUP($A10,Alimentos!$A:$BA,44,FALSE)</f>
        <v>0</v>
      </c>
      <c r="AS10" s="113">
        <f>VLOOKUP($A10,Alimentos!$A:$BA,45,FALSE)</f>
        <v>0</v>
      </c>
    </row>
    <row r="11" spans="1:47" x14ac:dyDescent="0.25">
      <c r="A11" s="108" t="s">
        <v>60</v>
      </c>
      <c r="B11" s="109">
        <f>VLOOKUP($A11,Alimentos!$A:$BA,2,FALSE)</f>
        <v>0</v>
      </c>
      <c r="C11" s="114">
        <f>VLOOKUP($A11,Alimentos!$A:$BA,4,FALSE)</f>
        <v>0</v>
      </c>
      <c r="E11" s="111">
        <f>VLOOKUP($A11,Alimentos!$A:$BA,5,FALSE)</f>
        <v>0</v>
      </c>
      <c r="F11" s="111">
        <f>VLOOKUP($A11,Alimentos!$A:$BA,6,FALSE)</f>
        <v>0</v>
      </c>
      <c r="G11" s="111">
        <f>VLOOKUP($A11,Alimentos!$A:$BA,7,FALSE)</f>
        <v>0</v>
      </c>
      <c r="H11" s="111">
        <f>VLOOKUP($A11,Alimentos!$A:$BA,8,FALSE)</f>
        <v>0</v>
      </c>
      <c r="I11" s="111">
        <f>VLOOKUP($A11,Alimentos!$A:$BA,9,FALSE)</f>
        <v>0</v>
      </c>
      <c r="J11" s="111">
        <f>VLOOKUP($A11,Alimentos!$A:$BA,10,FALSE)</f>
        <v>0</v>
      </c>
      <c r="K11" s="111">
        <f>VLOOKUP($A11,Alimentos!$A:$BA,11,FALSE)</f>
        <v>0</v>
      </c>
      <c r="L11" s="111">
        <f>VLOOKUP($A11,Alimentos!$A:$BA,12,FALSE)</f>
        <v>0</v>
      </c>
      <c r="M11" s="111">
        <f>VLOOKUP($A11,Alimentos!$A:$BA,13,FALSE)</f>
        <v>0</v>
      </c>
      <c r="N11" s="111">
        <f>VLOOKUP($A11,Alimentos!$A:$BA,14,FALSE)</f>
        <v>0</v>
      </c>
      <c r="O11" s="90">
        <f>VLOOKUP($A11,Alimentos!$A:$BA,15,FALSE)</f>
        <v>0</v>
      </c>
      <c r="P11" s="111">
        <f>VLOOKUP($A11,Alimentos!$A:$BA,16,FALSE)</f>
        <v>0</v>
      </c>
      <c r="Q11" s="111">
        <f>VLOOKUP($A11,Alimentos!$A:$BA,17,FALSE)</f>
        <v>0</v>
      </c>
      <c r="R11" s="111">
        <f>VLOOKUP($A11,Alimentos!$A:$BA,18,FALSE)</f>
        <v>0</v>
      </c>
      <c r="S11" s="111">
        <f>VLOOKUP($A11,Alimentos!$A:$BA,19,FALSE)</f>
        <v>0</v>
      </c>
      <c r="T11" s="111">
        <f>VLOOKUP($A11,Alimentos!$A:$BA,20,FALSE)</f>
        <v>0</v>
      </c>
      <c r="U11" s="111">
        <f>VLOOKUP($A11,Alimentos!$A:$BA,21,FALSE)</f>
        <v>0</v>
      </c>
      <c r="V11" s="111">
        <f>VLOOKUP($A11,Alimentos!$A:$BA,22,FALSE)</f>
        <v>0</v>
      </c>
      <c r="W11" s="112">
        <f>VLOOKUP($A11,Alimentos!$A:$BA,23,FALSE)</f>
        <v>0</v>
      </c>
      <c r="X11" s="112">
        <f>VLOOKUP($A11,Alimentos!$A:$BA,24,FALSE)</f>
        <v>0</v>
      </c>
      <c r="Y11" s="112">
        <f>VLOOKUP($A11,Alimentos!$A:$BA,25,FALSE)</f>
        <v>0</v>
      </c>
      <c r="Z11" s="112">
        <f>VLOOKUP($A11,Alimentos!$A:$BA,26,FALSE)</f>
        <v>0</v>
      </c>
      <c r="AA11" s="112">
        <f>VLOOKUP($A11,Alimentos!$A:$BA,27,FALSE)</f>
        <v>0</v>
      </c>
      <c r="AB11" s="112">
        <f>VLOOKUP($A11,Alimentos!$A:$BA,28,FALSE)</f>
        <v>0</v>
      </c>
      <c r="AC11" s="112">
        <f>VLOOKUP($A11,Alimentos!$A:$BA,29,FALSE)</f>
        <v>0</v>
      </c>
      <c r="AD11" s="112">
        <f>VLOOKUP($A11,Alimentos!$A:$BA,30,FALSE)</f>
        <v>0</v>
      </c>
      <c r="AE11" s="112">
        <f>VLOOKUP($A11,Alimentos!$A:$BA,31,FALSE)</f>
        <v>0</v>
      </c>
      <c r="AF11" s="113">
        <f>VLOOKUP($A11,Alimentos!$A:$BA,32,FALSE)</f>
        <v>0</v>
      </c>
      <c r="AG11" s="113">
        <f>VLOOKUP($A11,Alimentos!$A:$BA,33,FALSE)</f>
        <v>0</v>
      </c>
      <c r="AH11" s="113">
        <f>VLOOKUP($A11,Alimentos!$A:$BA,34,FALSE)</f>
        <v>0</v>
      </c>
      <c r="AI11" s="113">
        <f>VLOOKUP($A11,Alimentos!$A:$BA,35,FALSE)</f>
        <v>0</v>
      </c>
      <c r="AJ11" s="113">
        <f>VLOOKUP($A11,Alimentos!$A:$BA,36,FALSE)</f>
        <v>0</v>
      </c>
      <c r="AK11" s="113">
        <f>VLOOKUP($A11,Alimentos!$A:$BA,37,FALSE)</f>
        <v>0</v>
      </c>
      <c r="AL11" s="113">
        <f>VLOOKUP($A11,Alimentos!$A:$BA,38,FALSE)</f>
        <v>0</v>
      </c>
      <c r="AM11" s="113">
        <f>VLOOKUP($A11,Alimentos!$A:$BA,39,FALSE)</f>
        <v>0</v>
      </c>
      <c r="AN11" s="113">
        <f>VLOOKUP($A11,Alimentos!$A:$BA,40,FALSE)</f>
        <v>0</v>
      </c>
      <c r="AO11" s="113">
        <f>VLOOKUP($A11,Alimentos!$A:$BA,41,FALSE)</f>
        <v>0</v>
      </c>
      <c r="AP11" s="113">
        <f>VLOOKUP($A11,Alimentos!$A:$BA,42,FALSE)</f>
        <v>0</v>
      </c>
      <c r="AQ11" s="113">
        <f>VLOOKUP($A11,Alimentos!$A:$BA,43,FALSE)</f>
        <v>0</v>
      </c>
      <c r="AR11" s="113">
        <f>VLOOKUP($A11,Alimentos!$A:$BA,44,FALSE)</f>
        <v>0</v>
      </c>
      <c r="AS11" s="113">
        <f>VLOOKUP($A11,Alimentos!$A:$BA,45,FALSE)</f>
        <v>0</v>
      </c>
    </row>
    <row r="12" spans="1:47" x14ac:dyDescent="0.25">
      <c r="A12" s="108" t="s">
        <v>60</v>
      </c>
      <c r="B12" s="109">
        <f>VLOOKUP($A12,Alimentos!$A:$BA,2,FALSE)</f>
        <v>0</v>
      </c>
      <c r="C12" s="114">
        <f>VLOOKUP($A12,Alimentos!$A:$BA,4,FALSE)</f>
        <v>0</v>
      </c>
      <c r="E12" s="111">
        <f>VLOOKUP($A12,Alimentos!$A:$BA,5,FALSE)</f>
        <v>0</v>
      </c>
      <c r="F12" s="111">
        <f>VLOOKUP($A12,Alimentos!$A:$BA,6,FALSE)</f>
        <v>0</v>
      </c>
      <c r="G12" s="111">
        <f>VLOOKUP($A12,Alimentos!$A:$BA,7,FALSE)</f>
        <v>0</v>
      </c>
      <c r="H12" s="111">
        <f>VLOOKUP($A12,Alimentos!$A:$BA,8,FALSE)</f>
        <v>0</v>
      </c>
      <c r="I12" s="111">
        <f>VLOOKUP($A12,Alimentos!$A:$BA,9,FALSE)</f>
        <v>0</v>
      </c>
      <c r="J12" s="111">
        <f>VLOOKUP($A12,Alimentos!$A:$BA,10,FALSE)</f>
        <v>0</v>
      </c>
      <c r="K12" s="111">
        <f>VLOOKUP($A12,Alimentos!$A:$BA,11,FALSE)</f>
        <v>0</v>
      </c>
      <c r="L12" s="111">
        <f>VLOOKUP($A12,Alimentos!$A:$BA,12,FALSE)</f>
        <v>0</v>
      </c>
      <c r="M12" s="111">
        <f>VLOOKUP($A12,Alimentos!$A:$BA,13,FALSE)</f>
        <v>0</v>
      </c>
      <c r="N12" s="111">
        <f>VLOOKUP($A12,Alimentos!$A:$BA,14,FALSE)</f>
        <v>0</v>
      </c>
      <c r="O12" s="90">
        <f>VLOOKUP($A12,Alimentos!$A:$BA,15,FALSE)</f>
        <v>0</v>
      </c>
      <c r="P12" s="111">
        <f>VLOOKUP($A12,Alimentos!$A:$BA,16,FALSE)</f>
        <v>0</v>
      </c>
      <c r="Q12" s="111">
        <f>VLOOKUP($A12,Alimentos!$A:$BA,17,FALSE)</f>
        <v>0</v>
      </c>
      <c r="R12" s="111">
        <f>VLOOKUP($A12,Alimentos!$A:$BA,18,FALSE)</f>
        <v>0</v>
      </c>
      <c r="S12" s="111">
        <f>VLOOKUP($A12,Alimentos!$A:$BA,19,FALSE)</f>
        <v>0</v>
      </c>
      <c r="T12" s="111">
        <f>VLOOKUP($A12,Alimentos!$A:$BA,20,FALSE)</f>
        <v>0</v>
      </c>
      <c r="U12" s="111">
        <f>VLOOKUP($A12,Alimentos!$A:$BA,21,FALSE)</f>
        <v>0</v>
      </c>
      <c r="V12" s="111">
        <f>VLOOKUP($A12,Alimentos!$A:$BA,22,FALSE)</f>
        <v>0</v>
      </c>
      <c r="W12" s="112">
        <f>VLOOKUP($A12,Alimentos!$A:$BA,23,FALSE)</f>
        <v>0</v>
      </c>
      <c r="X12" s="112">
        <f>VLOOKUP($A12,Alimentos!$A:$BA,24,FALSE)</f>
        <v>0</v>
      </c>
      <c r="Y12" s="112">
        <f>VLOOKUP($A12,Alimentos!$A:$BA,25,FALSE)</f>
        <v>0</v>
      </c>
      <c r="Z12" s="112">
        <f>VLOOKUP($A12,Alimentos!$A:$BA,26,FALSE)</f>
        <v>0</v>
      </c>
      <c r="AA12" s="112">
        <f>VLOOKUP($A12,Alimentos!$A:$BA,27,FALSE)</f>
        <v>0</v>
      </c>
      <c r="AB12" s="112">
        <f>VLOOKUP($A12,Alimentos!$A:$BA,28,FALSE)</f>
        <v>0</v>
      </c>
      <c r="AC12" s="112">
        <f>VLOOKUP($A12,Alimentos!$A:$BA,29,FALSE)</f>
        <v>0</v>
      </c>
      <c r="AD12" s="112">
        <f>VLOOKUP($A12,Alimentos!$A:$BA,30,FALSE)</f>
        <v>0</v>
      </c>
      <c r="AE12" s="112">
        <f>VLOOKUP($A12,Alimentos!$A:$BA,31,FALSE)</f>
        <v>0</v>
      </c>
      <c r="AF12" s="113">
        <f>VLOOKUP($A12,Alimentos!$A:$BA,32,FALSE)</f>
        <v>0</v>
      </c>
      <c r="AG12" s="113">
        <f>VLOOKUP($A12,Alimentos!$A:$BA,33,FALSE)</f>
        <v>0</v>
      </c>
      <c r="AH12" s="113">
        <f>VLOOKUP($A12,Alimentos!$A:$BA,34,FALSE)</f>
        <v>0</v>
      </c>
      <c r="AI12" s="113">
        <f>VLOOKUP($A12,Alimentos!$A:$BA,35,FALSE)</f>
        <v>0</v>
      </c>
      <c r="AJ12" s="113">
        <f>VLOOKUP($A12,Alimentos!$A:$BA,36,FALSE)</f>
        <v>0</v>
      </c>
      <c r="AK12" s="113">
        <f>VLOOKUP($A12,Alimentos!$A:$BA,37,FALSE)</f>
        <v>0</v>
      </c>
      <c r="AL12" s="113">
        <f>VLOOKUP($A12,Alimentos!$A:$BA,38,FALSE)</f>
        <v>0</v>
      </c>
      <c r="AM12" s="113">
        <f>VLOOKUP($A12,Alimentos!$A:$BA,39,FALSE)</f>
        <v>0</v>
      </c>
      <c r="AN12" s="113">
        <f>VLOOKUP($A12,Alimentos!$A:$BA,40,FALSE)</f>
        <v>0</v>
      </c>
      <c r="AO12" s="113">
        <f>VLOOKUP($A12,Alimentos!$A:$BA,41,FALSE)</f>
        <v>0</v>
      </c>
      <c r="AP12" s="113">
        <f>VLOOKUP($A12,Alimentos!$A:$BA,42,FALSE)</f>
        <v>0</v>
      </c>
      <c r="AQ12" s="113">
        <f>VLOOKUP($A12,Alimentos!$A:$BA,43,FALSE)</f>
        <v>0</v>
      </c>
      <c r="AR12" s="113">
        <f>VLOOKUP($A12,Alimentos!$A:$BA,44,FALSE)</f>
        <v>0</v>
      </c>
      <c r="AS12" s="113">
        <f>VLOOKUP($A12,Alimentos!$A:$BA,45,FALSE)</f>
        <v>0</v>
      </c>
    </row>
    <row r="13" spans="1:47" x14ac:dyDescent="0.25">
      <c r="A13" s="108" t="s">
        <v>60</v>
      </c>
      <c r="B13" s="109">
        <f>VLOOKUP($A13,Alimentos!$A:$BA,2,FALSE)</f>
        <v>0</v>
      </c>
      <c r="C13" s="114">
        <f>VLOOKUP($A13,Alimentos!$A:$BA,4,FALSE)</f>
        <v>0</v>
      </c>
      <c r="E13" s="111">
        <f>VLOOKUP($A13,Alimentos!$A:$BA,5,FALSE)</f>
        <v>0</v>
      </c>
      <c r="F13" s="111">
        <f>VLOOKUP($A13,Alimentos!$A:$BA,6,FALSE)</f>
        <v>0</v>
      </c>
      <c r="G13" s="111">
        <f>VLOOKUP($A13,Alimentos!$A:$BA,7,FALSE)</f>
        <v>0</v>
      </c>
      <c r="H13" s="111">
        <f>VLOOKUP($A13,Alimentos!$A:$BA,8,FALSE)</f>
        <v>0</v>
      </c>
      <c r="I13" s="111">
        <f>VLOOKUP($A13,Alimentos!$A:$BA,9,FALSE)</f>
        <v>0</v>
      </c>
      <c r="J13" s="111">
        <f>VLOOKUP($A13,Alimentos!$A:$BA,10,FALSE)</f>
        <v>0</v>
      </c>
      <c r="K13" s="111">
        <f>VLOOKUP($A13,Alimentos!$A:$BA,11,FALSE)</f>
        <v>0</v>
      </c>
      <c r="L13" s="111">
        <f>VLOOKUP($A13,Alimentos!$A:$BA,12,FALSE)</f>
        <v>0</v>
      </c>
      <c r="M13" s="111">
        <f>VLOOKUP($A13,Alimentos!$A:$BA,13,FALSE)</f>
        <v>0</v>
      </c>
      <c r="N13" s="111">
        <f>VLOOKUP($A13,Alimentos!$A:$BA,14,FALSE)</f>
        <v>0</v>
      </c>
      <c r="O13" s="90">
        <f>VLOOKUP($A13,Alimentos!$A:$BA,15,FALSE)</f>
        <v>0</v>
      </c>
      <c r="P13" s="111">
        <f>VLOOKUP($A13,Alimentos!$A:$BA,16,FALSE)</f>
        <v>0</v>
      </c>
      <c r="Q13" s="111">
        <f>VLOOKUP($A13,Alimentos!$A:$BA,17,FALSE)</f>
        <v>0</v>
      </c>
      <c r="R13" s="111">
        <f>VLOOKUP($A13,Alimentos!$A:$BA,18,FALSE)</f>
        <v>0</v>
      </c>
      <c r="S13" s="111">
        <f>VLOOKUP($A13,Alimentos!$A:$BA,19,FALSE)</f>
        <v>0</v>
      </c>
      <c r="T13" s="111">
        <f>VLOOKUP($A13,Alimentos!$A:$BA,20,FALSE)</f>
        <v>0</v>
      </c>
      <c r="U13" s="111">
        <f>VLOOKUP($A13,Alimentos!$A:$BA,21,FALSE)</f>
        <v>0</v>
      </c>
      <c r="V13" s="111">
        <f>VLOOKUP($A13,Alimentos!$A:$BA,22,FALSE)</f>
        <v>0</v>
      </c>
      <c r="W13" s="112">
        <f>VLOOKUP($A13,Alimentos!$A:$BA,23,FALSE)</f>
        <v>0</v>
      </c>
      <c r="X13" s="112">
        <f>VLOOKUP($A13,Alimentos!$A:$BA,24,FALSE)</f>
        <v>0</v>
      </c>
      <c r="Y13" s="112">
        <f>VLOOKUP($A13,Alimentos!$A:$BA,25,FALSE)</f>
        <v>0</v>
      </c>
      <c r="Z13" s="112">
        <f>VLOOKUP($A13,Alimentos!$A:$BA,26,FALSE)</f>
        <v>0</v>
      </c>
      <c r="AA13" s="112">
        <f>VLOOKUP($A13,Alimentos!$A:$BA,27,FALSE)</f>
        <v>0</v>
      </c>
      <c r="AB13" s="112">
        <f>VLOOKUP($A13,Alimentos!$A:$BA,28,FALSE)</f>
        <v>0</v>
      </c>
      <c r="AC13" s="112">
        <f>VLOOKUP($A13,Alimentos!$A:$BA,29,FALSE)</f>
        <v>0</v>
      </c>
      <c r="AD13" s="112">
        <f>VLOOKUP($A13,Alimentos!$A:$BA,30,FALSE)</f>
        <v>0</v>
      </c>
      <c r="AE13" s="112">
        <f>VLOOKUP($A13,Alimentos!$A:$BA,31,FALSE)</f>
        <v>0</v>
      </c>
      <c r="AF13" s="113">
        <f>VLOOKUP($A13,Alimentos!$A:$BA,32,FALSE)</f>
        <v>0</v>
      </c>
      <c r="AG13" s="113">
        <f>VLOOKUP($A13,Alimentos!$A:$BA,33,FALSE)</f>
        <v>0</v>
      </c>
      <c r="AH13" s="113">
        <f>VLOOKUP($A13,Alimentos!$A:$BA,34,FALSE)</f>
        <v>0</v>
      </c>
      <c r="AI13" s="113">
        <f>VLOOKUP($A13,Alimentos!$A:$BA,35,FALSE)</f>
        <v>0</v>
      </c>
      <c r="AJ13" s="113">
        <f>VLOOKUP($A13,Alimentos!$A:$BA,36,FALSE)</f>
        <v>0</v>
      </c>
      <c r="AK13" s="113">
        <f>VLOOKUP($A13,Alimentos!$A:$BA,37,FALSE)</f>
        <v>0</v>
      </c>
      <c r="AL13" s="113">
        <f>VLOOKUP($A13,Alimentos!$A:$BA,38,FALSE)</f>
        <v>0</v>
      </c>
      <c r="AM13" s="115">
        <f>VLOOKUP($A13,Alimentos!$A:$BA,39,FALSE)</f>
        <v>0</v>
      </c>
      <c r="AN13" s="115">
        <f>VLOOKUP($A13,Alimentos!$A:$BA,40,FALSE)</f>
        <v>0</v>
      </c>
      <c r="AO13" s="115">
        <f>VLOOKUP($A13,Alimentos!$A:$BA,41,FALSE)</f>
        <v>0</v>
      </c>
      <c r="AP13" s="113">
        <f>VLOOKUP($A13,Alimentos!$A:$BA,42,FALSE)</f>
        <v>0</v>
      </c>
      <c r="AQ13" s="113">
        <f>VLOOKUP($A13,Alimentos!$A:$BA,43,FALSE)</f>
        <v>0</v>
      </c>
      <c r="AR13" s="113">
        <f>VLOOKUP($A13,Alimentos!$A:$BA,44,FALSE)</f>
        <v>0</v>
      </c>
      <c r="AS13" s="113">
        <f>VLOOKUP($A13,Alimentos!$A:$BA,45,FALSE)</f>
        <v>0</v>
      </c>
    </row>
    <row r="14" spans="1:47" x14ac:dyDescent="0.25">
      <c r="A14" s="108" t="s">
        <v>60</v>
      </c>
      <c r="B14" s="109">
        <f>VLOOKUP($A14,Alimentos!$A:$BA,2,FALSE)</f>
        <v>0</v>
      </c>
      <c r="C14" s="114">
        <f>VLOOKUP($A14,Alimentos!$A:$BA,4,FALSE)</f>
        <v>0</v>
      </c>
      <c r="E14" s="111">
        <f>VLOOKUP($A14,Alimentos!$A:$BA,5,FALSE)</f>
        <v>0</v>
      </c>
      <c r="F14" s="111">
        <f>VLOOKUP($A14,Alimentos!$A:$BA,6,FALSE)</f>
        <v>0</v>
      </c>
      <c r="G14" s="111">
        <f>VLOOKUP($A14,Alimentos!$A:$BA,7,FALSE)</f>
        <v>0</v>
      </c>
      <c r="H14" s="111">
        <f>VLOOKUP($A14,Alimentos!$A:$BA,8,FALSE)</f>
        <v>0</v>
      </c>
      <c r="I14" s="111">
        <f>VLOOKUP($A14,Alimentos!$A:$BA,9,FALSE)</f>
        <v>0</v>
      </c>
      <c r="J14" s="111">
        <f>VLOOKUP($A14,Alimentos!$A:$BA,10,FALSE)</f>
        <v>0</v>
      </c>
      <c r="K14" s="111">
        <f>VLOOKUP($A14,Alimentos!$A:$BA,11,FALSE)</f>
        <v>0</v>
      </c>
      <c r="L14" s="111">
        <f>VLOOKUP($A14,Alimentos!$A:$BA,12,FALSE)</f>
        <v>0</v>
      </c>
      <c r="M14" s="111">
        <f>VLOOKUP($A14,Alimentos!$A:$BA,13,FALSE)</f>
        <v>0</v>
      </c>
      <c r="N14" s="111">
        <f>VLOOKUP($A14,Alimentos!$A:$BA,14,FALSE)</f>
        <v>0</v>
      </c>
      <c r="O14" s="90">
        <f>VLOOKUP($A14,Alimentos!$A:$BA,15,FALSE)</f>
        <v>0</v>
      </c>
      <c r="P14" s="111">
        <f>VLOOKUP($A14,Alimentos!$A:$BA,16,FALSE)</f>
        <v>0</v>
      </c>
      <c r="Q14" s="111">
        <f>VLOOKUP($A14,Alimentos!$A:$BA,17,FALSE)</f>
        <v>0</v>
      </c>
      <c r="R14" s="111">
        <f>VLOOKUP($A14,Alimentos!$A:$BA,18,FALSE)</f>
        <v>0</v>
      </c>
      <c r="S14" s="111">
        <f>VLOOKUP($A14,Alimentos!$A:$BA,19,FALSE)</f>
        <v>0</v>
      </c>
      <c r="T14" s="111">
        <f>VLOOKUP($A14,Alimentos!$A:$BA,20,FALSE)</f>
        <v>0</v>
      </c>
      <c r="U14" s="111">
        <f>VLOOKUP($A14,Alimentos!$A:$BA,21,FALSE)</f>
        <v>0</v>
      </c>
      <c r="V14" s="111">
        <f>VLOOKUP($A14,Alimentos!$A:$BA,22,FALSE)</f>
        <v>0</v>
      </c>
      <c r="W14" s="112">
        <f>VLOOKUP($A14,Alimentos!$A:$BA,23,FALSE)</f>
        <v>0</v>
      </c>
      <c r="X14" s="112">
        <f>VLOOKUP($A14,Alimentos!$A:$BA,24,FALSE)</f>
        <v>0</v>
      </c>
      <c r="Y14" s="112">
        <f>VLOOKUP($A14,Alimentos!$A:$BA,25,FALSE)</f>
        <v>0</v>
      </c>
      <c r="Z14" s="112">
        <f>VLOOKUP($A14,Alimentos!$A:$BA,26,FALSE)</f>
        <v>0</v>
      </c>
      <c r="AA14" s="112">
        <f>VLOOKUP($A14,Alimentos!$A:$BA,27,FALSE)</f>
        <v>0</v>
      </c>
      <c r="AB14" s="112">
        <f>VLOOKUP($A14,Alimentos!$A:$BA,28,FALSE)</f>
        <v>0</v>
      </c>
      <c r="AC14" s="112">
        <f>VLOOKUP($A14,Alimentos!$A:$BA,29,FALSE)</f>
        <v>0</v>
      </c>
      <c r="AD14" s="112">
        <f>VLOOKUP($A14,Alimentos!$A:$BA,30,FALSE)</f>
        <v>0</v>
      </c>
      <c r="AE14" s="112">
        <f>VLOOKUP($A14,Alimentos!$A:$BA,31,FALSE)</f>
        <v>0</v>
      </c>
      <c r="AF14" s="113">
        <f>VLOOKUP($A14,Alimentos!$A:$BA,32,FALSE)</f>
        <v>0</v>
      </c>
      <c r="AG14" s="113">
        <f>VLOOKUP($A14,Alimentos!$A:$BA,33,FALSE)</f>
        <v>0</v>
      </c>
      <c r="AH14" s="113">
        <f>VLOOKUP($A14,Alimentos!$A:$BA,34,FALSE)</f>
        <v>0</v>
      </c>
      <c r="AI14" s="113">
        <f>VLOOKUP($A14,Alimentos!$A:$BA,35,FALSE)</f>
        <v>0</v>
      </c>
      <c r="AJ14" s="113">
        <f>VLOOKUP($A14,Alimentos!$A:$BA,36,FALSE)</f>
        <v>0</v>
      </c>
      <c r="AK14" s="113">
        <f>VLOOKUP($A14,Alimentos!$A:$BA,37,FALSE)</f>
        <v>0</v>
      </c>
      <c r="AL14" s="113">
        <f>VLOOKUP($A14,Alimentos!$A:$BA,38,FALSE)</f>
        <v>0</v>
      </c>
      <c r="AM14" s="113">
        <f>VLOOKUP($A14,Alimentos!$A:$BA,39,FALSE)</f>
        <v>0</v>
      </c>
      <c r="AN14" s="113">
        <f>VLOOKUP($A14,Alimentos!$A:$BA,40,FALSE)</f>
        <v>0</v>
      </c>
      <c r="AO14" s="113">
        <f>VLOOKUP($A14,Alimentos!$A:$BA,41,FALSE)</f>
        <v>0</v>
      </c>
      <c r="AP14" s="113">
        <f>VLOOKUP($A14,Alimentos!$A:$BA,42,FALSE)</f>
        <v>0</v>
      </c>
      <c r="AQ14" s="113">
        <f>VLOOKUP($A14,Alimentos!$A:$BA,43,FALSE)</f>
        <v>0</v>
      </c>
      <c r="AR14" s="113">
        <f>VLOOKUP($A14,Alimentos!$A:$BA,44,FALSE)</f>
        <v>0</v>
      </c>
      <c r="AS14" s="113">
        <f>VLOOKUP($A14,Alimentos!$A:$BA,45,FALSE)</f>
        <v>0</v>
      </c>
    </row>
    <row r="15" spans="1:47" x14ac:dyDescent="0.25">
      <c r="A15" s="108" t="s">
        <v>60</v>
      </c>
      <c r="B15" s="109">
        <f>VLOOKUP($A15,Alimentos!$A:$BA,2,FALSE)</f>
        <v>0</v>
      </c>
      <c r="C15" s="114">
        <f>VLOOKUP($A15,Alimentos!$A:$BA,4,FALSE)</f>
        <v>0</v>
      </c>
      <c r="E15" s="111">
        <f>VLOOKUP($A15,Alimentos!$A:$BA,5,FALSE)</f>
        <v>0</v>
      </c>
      <c r="F15" s="111">
        <f>VLOOKUP($A15,Alimentos!$A:$BA,6,FALSE)</f>
        <v>0</v>
      </c>
      <c r="G15" s="111">
        <f>VLOOKUP($A15,Alimentos!$A:$BA,7,FALSE)</f>
        <v>0</v>
      </c>
      <c r="H15" s="111">
        <f>VLOOKUP($A15,Alimentos!$A:$BA,8,FALSE)</f>
        <v>0</v>
      </c>
      <c r="I15" s="111">
        <f>VLOOKUP($A15,Alimentos!$A:$BA,9,FALSE)</f>
        <v>0</v>
      </c>
      <c r="J15" s="111">
        <f>VLOOKUP($A15,Alimentos!$A:$BA,10,FALSE)</f>
        <v>0</v>
      </c>
      <c r="K15" s="111">
        <f>VLOOKUP($A15,Alimentos!$A:$BA,11,FALSE)</f>
        <v>0</v>
      </c>
      <c r="L15" s="111">
        <f>VLOOKUP($A15,Alimentos!$A:$BA,12,FALSE)</f>
        <v>0</v>
      </c>
      <c r="M15" s="111">
        <f>VLOOKUP($A15,Alimentos!$A:$BA,13,FALSE)</f>
        <v>0</v>
      </c>
      <c r="N15" s="111">
        <f>VLOOKUP($A15,Alimentos!$A:$BA,14,FALSE)</f>
        <v>0</v>
      </c>
      <c r="O15" s="90">
        <f>VLOOKUP($A15,Alimentos!$A:$BA,15,FALSE)</f>
        <v>0</v>
      </c>
      <c r="P15" s="111">
        <f>VLOOKUP($A15,Alimentos!$A:$BA,16,FALSE)</f>
        <v>0</v>
      </c>
      <c r="Q15" s="111">
        <f>VLOOKUP($A15,Alimentos!$A:$BA,17,FALSE)</f>
        <v>0</v>
      </c>
      <c r="R15" s="111">
        <f>VLOOKUP($A15,Alimentos!$A:$BA,18,FALSE)</f>
        <v>0</v>
      </c>
      <c r="S15" s="111">
        <f>VLOOKUP($A15,Alimentos!$A:$BA,19,FALSE)</f>
        <v>0</v>
      </c>
      <c r="T15" s="111">
        <f>VLOOKUP($A15,Alimentos!$A:$BA,20,FALSE)</f>
        <v>0</v>
      </c>
      <c r="U15" s="111">
        <f>VLOOKUP($A15,Alimentos!$A:$BA,21,FALSE)</f>
        <v>0</v>
      </c>
      <c r="V15" s="111">
        <f>VLOOKUP($A15,Alimentos!$A:$BA,22,FALSE)</f>
        <v>0</v>
      </c>
      <c r="W15" s="112">
        <f>VLOOKUP($A15,Alimentos!$A:$BA,23,FALSE)</f>
        <v>0</v>
      </c>
      <c r="X15" s="112">
        <f>VLOOKUP($A15,Alimentos!$A:$BA,24,FALSE)</f>
        <v>0</v>
      </c>
      <c r="Y15" s="112">
        <f>VLOOKUP($A15,Alimentos!$A:$BA,25,FALSE)</f>
        <v>0</v>
      </c>
      <c r="Z15" s="112">
        <f>VLOOKUP($A15,Alimentos!$A:$BA,26,FALSE)</f>
        <v>0</v>
      </c>
      <c r="AA15" s="112">
        <f>VLOOKUP($A15,Alimentos!$A:$BA,27,FALSE)</f>
        <v>0</v>
      </c>
      <c r="AB15" s="112">
        <f>VLOOKUP($A15,Alimentos!$A:$BA,28,FALSE)</f>
        <v>0</v>
      </c>
      <c r="AC15" s="112">
        <f>VLOOKUP($A15,Alimentos!$A:$BA,29,FALSE)</f>
        <v>0</v>
      </c>
      <c r="AD15" s="112">
        <f>VLOOKUP($A15,Alimentos!$A:$BA,30,FALSE)</f>
        <v>0</v>
      </c>
      <c r="AE15" s="112">
        <f>VLOOKUP($A15,Alimentos!$A:$BA,31,FALSE)</f>
        <v>0</v>
      </c>
      <c r="AF15" s="113">
        <f>VLOOKUP($A15,Alimentos!$A:$BA,32,FALSE)</f>
        <v>0</v>
      </c>
      <c r="AG15" s="113">
        <f>VLOOKUP($A15,Alimentos!$A:$BA,33,FALSE)</f>
        <v>0</v>
      </c>
      <c r="AH15" s="113">
        <f>VLOOKUP($A15,Alimentos!$A:$BA,34,FALSE)</f>
        <v>0</v>
      </c>
      <c r="AI15" s="113">
        <f>VLOOKUP($A15,Alimentos!$A:$BA,35,FALSE)</f>
        <v>0</v>
      </c>
      <c r="AJ15" s="113">
        <f>VLOOKUP($A15,Alimentos!$A:$BA,36,FALSE)</f>
        <v>0</v>
      </c>
      <c r="AK15" s="113">
        <f>VLOOKUP($A15,Alimentos!$A:$BA,37,FALSE)</f>
        <v>0</v>
      </c>
      <c r="AL15" s="113">
        <f>VLOOKUP($A15,Alimentos!$A:$BA,38,FALSE)</f>
        <v>0</v>
      </c>
      <c r="AM15" s="113">
        <f>VLOOKUP($A15,Alimentos!$A:$BA,39,FALSE)</f>
        <v>0</v>
      </c>
      <c r="AN15" s="113">
        <f>VLOOKUP($A15,Alimentos!$A:$BA,40,FALSE)</f>
        <v>0</v>
      </c>
      <c r="AO15" s="113">
        <f>VLOOKUP($A15,Alimentos!$A:$BA,41,FALSE)</f>
        <v>0</v>
      </c>
      <c r="AP15" s="113">
        <f>VLOOKUP($A15,Alimentos!$A:$BA,42,FALSE)</f>
        <v>0</v>
      </c>
      <c r="AQ15" s="113">
        <f>VLOOKUP($A15,Alimentos!$A:$BA,43,FALSE)</f>
        <v>0</v>
      </c>
      <c r="AR15" s="113">
        <f>VLOOKUP($A15,Alimentos!$A:$BA,44,FALSE)</f>
        <v>0</v>
      </c>
      <c r="AS15" s="113">
        <f>VLOOKUP($A15,Alimentos!$A:$BA,45,FALSE)</f>
        <v>0</v>
      </c>
    </row>
    <row r="16" spans="1:47" x14ac:dyDescent="0.25">
      <c r="A16" s="108" t="s">
        <v>60</v>
      </c>
      <c r="B16" s="109">
        <f>VLOOKUP($A16,Alimentos!$A:$BA,2,FALSE)</f>
        <v>0</v>
      </c>
      <c r="C16" s="114">
        <f>VLOOKUP($A16,Alimentos!$A:$BA,4,FALSE)</f>
        <v>0</v>
      </c>
      <c r="E16" s="111">
        <f>VLOOKUP($A16,Alimentos!$A:$BA,5,FALSE)</f>
        <v>0</v>
      </c>
      <c r="F16" s="111">
        <f>VLOOKUP($A16,Alimentos!$A:$BA,6,FALSE)</f>
        <v>0</v>
      </c>
      <c r="G16" s="111">
        <f>VLOOKUP($A16,Alimentos!$A:$BA,7,FALSE)</f>
        <v>0</v>
      </c>
      <c r="H16" s="111">
        <f>VLOOKUP($A16,Alimentos!$A:$BA,8,FALSE)</f>
        <v>0</v>
      </c>
      <c r="I16" s="111">
        <f>VLOOKUP($A16,Alimentos!$A:$BA,9,FALSE)</f>
        <v>0</v>
      </c>
      <c r="J16" s="111">
        <f>VLOOKUP($A16,Alimentos!$A:$BA,10,FALSE)</f>
        <v>0</v>
      </c>
      <c r="K16" s="111">
        <f>VLOOKUP($A16,Alimentos!$A:$BA,11,FALSE)</f>
        <v>0</v>
      </c>
      <c r="L16" s="111">
        <f>VLOOKUP($A16,Alimentos!$A:$BA,12,FALSE)</f>
        <v>0</v>
      </c>
      <c r="M16" s="111">
        <f>VLOOKUP($A16,Alimentos!$A:$BA,13,FALSE)</f>
        <v>0</v>
      </c>
      <c r="N16" s="111">
        <f>VLOOKUP($A16,Alimentos!$A:$BA,14,FALSE)</f>
        <v>0</v>
      </c>
      <c r="O16" s="90">
        <f>VLOOKUP($A16,Alimentos!$A:$BA,15,FALSE)</f>
        <v>0</v>
      </c>
      <c r="P16" s="111">
        <f>VLOOKUP($A16,Alimentos!$A:$BA,16,FALSE)</f>
        <v>0</v>
      </c>
      <c r="Q16" s="111">
        <f>VLOOKUP($A16,Alimentos!$A:$BA,17,FALSE)</f>
        <v>0</v>
      </c>
      <c r="R16" s="111">
        <f>VLOOKUP($A16,Alimentos!$A:$BA,18,FALSE)</f>
        <v>0</v>
      </c>
      <c r="S16" s="111">
        <f>VLOOKUP($A16,Alimentos!$A:$BA,19,FALSE)</f>
        <v>0</v>
      </c>
      <c r="T16" s="111">
        <f>VLOOKUP($A16,Alimentos!$A:$BA,20,FALSE)</f>
        <v>0</v>
      </c>
      <c r="U16" s="111">
        <f>VLOOKUP($A16,Alimentos!$A:$BA,21,FALSE)</f>
        <v>0</v>
      </c>
      <c r="V16" s="111">
        <f>VLOOKUP($A16,Alimentos!$A:$BA,22,FALSE)</f>
        <v>0</v>
      </c>
      <c r="W16" s="112">
        <f>VLOOKUP($A16,Alimentos!$A:$BA,23,FALSE)</f>
        <v>0</v>
      </c>
      <c r="X16" s="112">
        <f>VLOOKUP($A16,Alimentos!$A:$BA,24,FALSE)</f>
        <v>0</v>
      </c>
      <c r="Y16" s="112">
        <f>VLOOKUP($A16,Alimentos!$A:$BA,25,FALSE)</f>
        <v>0</v>
      </c>
      <c r="Z16" s="112">
        <f>VLOOKUP($A16,Alimentos!$A:$BA,26,FALSE)</f>
        <v>0</v>
      </c>
      <c r="AA16" s="112">
        <f>VLOOKUP($A16,Alimentos!$A:$BA,27,FALSE)</f>
        <v>0</v>
      </c>
      <c r="AB16" s="112">
        <f>VLOOKUP($A16,Alimentos!$A:$BA,28,FALSE)</f>
        <v>0</v>
      </c>
      <c r="AC16" s="112">
        <f>VLOOKUP($A16,Alimentos!$A:$BA,29,FALSE)</f>
        <v>0</v>
      </c>
      <c r="AD16" s="112">
        <f>VLOOKUP($A16,Alimentos!$A:$BA,30,FALSE)</f>
        <v>0</v>
      </c>
      <c r="AE16" s="112">
        <f>VLOOKUP($A16,Alimentos!$A:$BA,31,FALSE)</f>
        <v>0</v>
      </c>
      <c r="AF16" s="113">
        <f>VLOOKUP($A16,Alimentos!$A:$BA,32,FALSE)</f>
        <v>0</v>
      </c>
      <c r="AG16" s="113">
        <f>VLOOKUP($A16,Alimentos!$A:$BA,33,FALSE)</f>
        <v>0</v>
      </c>
      <c r="AH16" s="113">
        <f>VLOOKUP($A16,Alimentos!$A:$BA,34,FALSE)</f>
        <v>0</v>
      </c>
      <c r="AI16" s="113">
        <f>VLOOKUP($A16,Alimentos!$A:$BA,35,FALSE)</f>
        <v>0</v>
      </c>
      <c r="AJ16" s="113">
        <f>VLOOKUP($A16,Alimentos!$A:$BA,36,FALSE)</f>
        <v>0</v>
      </c>
      <c r="AK16" s="113">
        <f>VLOOKUP($A16,Alimentos!$A:$BA,37,FALSE)</f>
        <v>0</v>
      </c>
      <c r="AL16" s="113">
        <f>VLOOKUP($A16,Alimentos!$A:$BA,38,FALSE)</f>
        <v>0</v>
      </c>
      <c r="AM16" s="113">
        <f>VLOOKUP($A16,Alimentos!$A:$BA,39,FALSE)</f>
        <v>0</v>
      </c>
      <c r="AN16" s="113">
        <f>VLOOKUP($A16,Alimentos!$A:$BA,40,FALSE)</f>
        <v>0</v>
      </c>
      <c r="AO16" s="113">
        <f>VLOOKUP($A16,Alimentos!$A:$BA,41,FALSE)</f>
        <v>0</v>
      </c>
      <c r="AP16" s="113">
        <f>VLOOKUP($A16,Alimentos!$A:$BA,42,FALSE)</f>
        <v>0</v>
      </c>
      <c r="AQ16" s="113">
        <f>VLOOKUP($A16,Alimentos!$A:$BA,43,FALSE)</f>
        <v>0</v>
      </c>
      <c r="AR16" s="113">
        <f>VLOOKUP($A16,Alimentos!$A:$BA,44,FALSE)</f>
        <v>0</v>
      </c>
      <c r="AS16" s="113">
        <f>VLOOKUP($A16,Alimentos!$A:$BA,45,FALSE)</f>
        <v>0</v>
      </c>
    </row>
    <row r="17" spans="1:46" x14ac:dyDescent="0.25">
      <c r="A17" s="108" t="s">
        <v>60</v>
      </c>
      <c r="B17" s="109">
        <f>VLOOKUP($A17,Alimentos!$A:$BA,2,FALSE)</f>
        <v>0</v>
      </c>
      <c r="C17" s="114">
        <f>VLOOKUP($A17,Alimentos!$A:$BA,4,FALSE)</f>
        <v>0</v>
      </c>
      <c r="E17" s="111">
        <f>VLOOKUP($A17,Alimentos!$A:$BA,5,FALSE)</f>
        <v>0</v>
      </c>
      <c r="F17" s="111">
        <f>VLOOKUP($A17,Alimentos!$A:$BA,6,FALSE)</f>
        <v>0</v>
      </c>
      <c r="G17" s="111">
        <f>VLOOKUP($A17,Alimentos!$A:$BA,7,FALSE)</f>
        <v>0</v>
      </c>
      <c r="H17" s="111">
        <f>VLOOKUP($A17,Alimentos!$A:$BA,8,FALSE)</f>
        <v>0</v>
      </c>
      <c r="I17" s="111">
        <f>VLOOKUP($A17,Alimentos!$A:$BA,9,FALSE)</f>
        <v>0</v>
      </c>
      <c r="J17" s="111">
        <f>VLOOKUP($A17,Alimentos!$A:$BA,10,FALSE)</f>
        <v>0</v>
      </c>
      <c r="K17" s="111">
        <f>VLOOKUP($A17,Alimentos!$A:$BA,11,FALSE)</f>
        <v>0</v>
      </c>
      <c r="L17" s="111">
        <f>VLOOKUP($A17,Alimentos!$A:$BA,12,FALSE)</f>
        <v>0</v>
      </c>
      <c r="M17" s="111">
        <f>VLOOKUP($A17,Alimentos!$A:$BA,13,FALSE)</f>
        <v>0</v>
      </c>
      <c r="N17" s="111">
        <f>VLOOKUP($A17,Alimentos!$A:$BA,14,FALSE)</f>
        <v>0</v>
      </c>
      <c r="O17" s="90">
        <f>VLOOKUP($A17,Alimentos!$A:$BA,15,FALSE)</f>
        <v>0</v>
      </c>
      <c r="P17" s="111">
        <f>VLOOKUP($A17,Alimentos!$A:$BA,16,FALSE)</f>
        <v>0</v>
      </c>
      <c r="Q17" s="111">
        <f>VLOOKUP($A17,Alimentos!$A:$BA,17,FALSE)</f>
        <v>0</v>
      </c>
      <c r="R17" s="111">
        <f>VLOOKUP($A17,Alimentos!$A:$BA,18,FALSE)</f>
        <v>0</v>
      </c>
      <c r="S17" s="111">
        <f>VLOOKUP($A17,Alimentos!$A:$BA,19,FALSE)</f>
        <v>0</v>
      </c>
      <c r="T17" s="111">
        <f>VLOOKUP($A17,Alimentos!$A:$BA,20,FALSE)</f>
        <v>0</v>
      </c>
      <c r="U17" s="111">
        <f>VLOOKUP($A17,Alimentos!$A:$BA,21,FALSE)</f>
        <v>0</v>
      </c>
      <c r="V17" s="111">
        <f>VLOOKUP($A17,Alimentos!$A:$BA,22,FALSE)</f>
        <v>0</v>
      </c>
      <c r="W17" s="112">
        <f>VLOOKUP($A17,Alimentos!$A:$BA,23,FALSE)</f>
        <v>0</v>
      </c>
      <c r="X17" s="112">
        <f>VLOOKUP($A17,Alimentos!$A:$BA,24,FALSE)</f>
        <v>0</v>
      </c>
      <c r="Y17" s="112">
        <f>VLOOKUP($A17,Alimentos!$A:$BA,25,FALSE)</f>
        <v>0</v>
      </c>
      <c r="Z17" s="112">
        <f>VLOOKUP($A17,Alimentos!$A:$BA,26,FALSE)</f>
        <v>0</v>
      </c>
      <c r="AA17" s="112">
        <f>VLOOKUP($A17,Alimentos!$A:$BA,27,FALSE)</f>
        <v>0</v>
      </c>
      <c r="AB17" s="112">
        <f>VLOOKUP($A17,Alimentos!$A:$BA,28,FALSE)</f>
        <v>0</v>
      </c>
      <c r="AC17" s="112">
        <f>VLOOKUP($A17,Alimentos!$A:$BA,29,FALSE)</f>
        <v>0</v>
      </c>
      <c r="AD17" s="112">
        <f>VLOOKUP($A17,Alimentos!$A:$BA,30,FALSE)</f>
        <v>0</v>
      </c>
      <c r="AE17" s="112">
        <f>VLOOKUP($A17,Alimentos!$A:$BA,31,FALSE)</f>
        <v>0</v>
      </c>
      <c r="AF17" s="113">
        <f>VLOOKUP($A17,Alimentos!$A:$BA,32,FALSE)</f>
        <v>0</v>
      </c>
      <c r="AG17" s="113">
        <f>VLOOKUP($A17,Alimentos!$A:$BA,33,FALSE)</f>
        <v>0</v>
      </c>
      <c r="AH17" s="113">
        <f>VLOOKUP($A17,Alimentos!$A:$BA,34,FALSE)</f>
        <v>0</v>
      </c>
      <c r="AI17" s="113">
        <f>VLOOKUP($A17,Alimentos!$A:$BA,35,FALSE)</f>
        <v>0</v>
      </c>
      <c r="AJ17" s="113">
        <f>VLOOKUP($A17,Alimentos!$A:$BA,36,FALSE)</f>
        <v>0</v>
      </c>
      <c r="AK17" s="113">
        <f>VLOOKUP($A17,Alimentos!$A:$BA,37,FALSE)</f>
        <v>0</v>
      </c>
      <c r="AL17" s="113">
        <f>VLOOKUP($A17,Alimentos!$A:$BA,38,FALSE)</f>
        <v>0</v>
      </c>
      <c r="AM17" s="113">
        <f>VLOOKUP($A17,Alimentos!$A:$BA,39,FALSE)</f>
        <v>0</v>
      </c>
      <c r="AN17" s="113">
        <f>VLOOKUP($A17,Alimentos!$A:$BA,40,FALSE)</f>
        <v>0</v>
      </c>
      <c r="AO17" s="113">
        <f>VLOOKUP($A17,Alimentos!$A:$BA,41,FALSE)</f>
        <v>0</v>
      </c>
      <c r="AP17" s="113">
        <f>VLOOKUP($A17,Alimentos!$A:$BA,42,FALSE)</f>
        <v>0</v>
      </c>
      <c r="AQ17" s="113">
        <f>VLOOKUP($A17,Alimentos!$A:$BA,43,FALSE)</f>
        <v>0</v>
      </c>
      <c r="AR17" s="113">
        <f>VLOOKUP($A17,Alimentos!$A:$BA,44,FALSE)</f>
        <v>0</v>
      </c>
      <c r="AS17" s="113">
        <f>VLOOKUP($A17,Alimentos!$A:$BA,45,FALSE)</f>
        <v>0</v>
      </c>
    </row>
    <row r="18" spans="1:46" x14ac:dyDescent="0.25">
      <c r="A18" s="108" t="s">
        <v>60</v>
      </c>
      <c r="B18" s="109">
        <f>VLOOKUP($A18,Alimentos!$A:$BA,2,FALSE)</f>
        <v>0</v>
      </c>
      <c r="C18" s="114">
        <f>VLOOKUP($A18,Alimentos!$A:$BA,4,FALSE)</f>
        <v>0</v>
      </c>
      <c r="E18" s="111">
        <f>VLOOKUP($A18,Alimentos!$A:$BA,5,FALSE)</f>
        <v>0</v>
      </c>
      <c r="F18" s="111">
        <f>VLOOKUP($A18,Alimentos!$A:$BA,6,FALSE)</f>
        <v>0</v>
      </c>
      <c r="G18" s="111">
        <f>VLOOKUP($A18,Alimentos!$A:$BA,7,FALSE)</f>
        <v>0</v>
      </c>
      <c r="H18" s="111">
        <f>VLOOKUP($A18,Alimentos!$A:$BA,8,FALSE)</f>
        <v>0</v>
      </c>
      <c r="I18" s="111">
        <f>VLOOKUP($A18,Alimentos!$A:$BA,9,FALSE)</f>
        <v>0</v>
      </c>
      <c r="J18" s="111">
        <f>VLOOKUP($A18,Alimentos!$A:$BA,10,FALSE)</f>
        <v>0</v>
      </c>
      <c r="K18" s="111">
        <f>VLOOKUP($A18,Alimentos!$A:$BA,11,FALSE)</f>
        <v>0</v>
      </c>
      <c r="L18" s="111">
        <f>VLOOKUP($A18,Alimentos!$A:$BA,12,FALSE)</f>
        <v>0</v>
      </c>
      <c r="M18" s="111">
        <f>VLOOKUP($A18,Alimentos!$A:$BA,13,FALSE)</f>
        <v>0</v>
      </c>
      <c r="N18" s="111">
        <f>VLOOKUP($A18,Alimentos!$A:$BA,14,FALSE)</f>
        <v>0</v>
      </c>
      <c r="O18" s="90">
        <f>VLOOKUP($A18,Alimentos!$A:$BA,15,FALSE)</f>
        <v>0</v>
      </c>
      <c r="P18" s="111">
        <f>VLOOKUP($A18,Alimentos!$A:$BA,16,FALSE)</f>
        <v>0</v>
      </c>
      <c r="Q18" s="111">
        <f>VLOOKUP($A18,Alimentos!$A:$BA,17,FALSE)</f>
        <v>0</v>
      </c>
      <c r="R18" s="111">
        <f>VLOOKUP($A18,Alimentos!$A:$BA,18,FALSE)</f>
        <v>0</v>
      </c>
      <c r="S18" s="111">
        <f>VLOOKUP($A18,Alimentos!$A:$BA,19,FALSE)</f>
        <v>0</v>
      </c>
      <c r="T18" s="111">
        <f>VLOOKUP($A18,Alimentos!$A:$BA,20,FALSE)</f>
        <v>0</v>
      </c>
      <c r="U18" s="111">
        <f>VLOOKUP($A18,Alimentos!$A:$BA,21,FALSE)</f>
        <v>0</v>
      </c>
      <c r="V18" s="111">
        <f>VLOOKUP($A18,Alimentos!$A:$BA,22,FALSE)</f>
        <v>0</v>
      </c>
      <c r="W18" s="112">
        <f>VLOOKUP($A18,Alimentos!$A:$BA,23,FALSE)</f>
        <v>0</v>
      </c>
      <c r="X18" s="112">
        <f>VLOOKUP($A18,Alimentos!$A:$BA,24,FALSE)</f>
        <v>0</v>
      </c>
      <c r="Y18" s="112">
        <f>VLOOKUP($A18,Alimentos!$A:$BA,25,FALSE)</f>
        <v>0</v>
      </c>
      <c r="Z18" s="112">
        <f>VLOOKUP($A18,Alimentos!$A:$BA,26,FALSE)</f>
        <v>0</v>
      </c>
      <c r="AA18" s="112">
        <f>VLOOKUP($A18,Alimentos!$A:$BA,27,FALSE)</f>
        <v>0</v>
      </c>
      <c r="AB18" s="112">
        <f>VLOOKUP($A18,Alimentos!$A:$BA,28,FALSE)</f>
        <v>0</v>
      </c>
      <c r="AC18" s="112">
        <f>VLOOKUP($A18,Alimentos!$A:$BA,29,FALSE)</f>
        <v>0</v>
      </c>
      <c r="AD18" s="112">
        <f>VLOOKUP($A18,Alimentos!$A:$BA,30,FALSE)</f>
        <v>0</v>
      </c>
      <c r="AE18" s="112">
        <f>VLOOKUP($A18,Alimentos!$A:$BA,31,FALSE)</f>
        <v>0</v>
      </c>
      <c r="AF18" s="113">
        <f>VLOOKUP($A18,Alimentos!$A:$BA,32,FALSE)</f>
        <v>0</v>
      </c>
      <c r="AG18" s="113">
        <f>VLOOKUP($A18,Alimentos!$A:$BA,33,FALSE)</f>
        <v>0</v>
      </c>
      <c r="AH18" s="113">
        <f>VLOOKUP($A18,Alimentos!$A:$BA,34,FALSE)</f>
        <v>0</v>
      </c>
      <c r="AI18" s="113">
        <f>VLOOKUP($A18,Alimentos!$A:$BA,35,FALSE)</f>
        <v>0</v>
      </c>
      <c r="AJ18" s="113">
        <f>VLOOKUP($A18,Alimentos!$A:$BA,36,FALSE)</f>
        <v>0</v>
      </c>
      <c r="AK18" s="113">
        <f>VLOOKUP($A18,Alimentos!$A:$BA,37,FALSE)</f>
        <v>0</v>
      </c>
      <c r="AL18" s="113">
        <f>VLOOKUP($A18,Alimentos!$A:$BA,38,FALSE)</f>
        <v>0</v>
      </c>
      <c r="AM18" s="113">
        <f>VLOOKUP($A18,Alimentos!$A:$BA,39,FALSE)</f>
        <v>0</v>
      </c>
      <c r="AN18" s="113">
        <f>VLOOKUP($A18,Alimentos!$A:$BA,40,FALSE)</f>
        <v>0</v>
      </c>
      <c r="AO18" s="113">
        <f>VLOOKUP($A18,Alimentos!$A:$BA,41,FALSE)</f>
        <v>0</v>
      </c>
      <c r="AP18" s="113">
        <f>VLOOKUP($A18,Alimentos!$A:$BA,42,FALSE)</f>
        <v>0</v>
      </c>
      <c r="AQ18" s="113">
        <f>VLOOKUP($A18,Alimentos!$A:$BA,43,FALSE)</f>
        <v>0</v>
      </c>
      <c r="AR18" s="113">
        <f>VLOOKUP($A18,Alimentos!$A:$BA,44,FALSE)</f>
        <v>0</v>
      </c>
      <c r="AS18" s="113">
        <f>VLOOKUP($A18,Alimentos!$A:$BA,45,FALSE)</f>
        <v>0</v>
      </c>
    </row>
    <row r="19" spans="1:46" x14ac:dyDescent="0.25">
      <c r="A19" s="108" t="s">
        <v>60</v>
      </c>
      <c r="B19" s="109">
        <f>VLOOKUP($A19,Alimentos!$A:$BA,2,FALSE)</f>
        <v>0</v>
      </c>
      <c r="C19" s="114">
        <f>VLOOKUP($A19,Alimentos!$A:$BA,4,FALSE)</f>
        <v>0</v>
      </c>
      <c r="E19" s="111">
        <f>VLOOKUP($A19,Alimentos!$A:$BA,5,FALSE)</f>
        <v>0</v>
      </c>
      <c r="F19" s="111">
        <f>VLOOKUP($A19,Alimentos!$A:$BA,6,FALSE)</f>
        <v>0</v>
      </c>
      <c r="G19" s="111">
        <f>VLOOKUP($A19,Alimentos!$A:$BA,7,FALSE)</f>
        <v>0</v>
      </c>
      <c r="H19" s="111">
        <f>VLOOKUP($A19,Alimentos!$A:$BA,8,FALSE)</f>
        <v>0</v>
      </c>
      <c r="I19" s="111">
        <f>VLOOKUP($A19,Alimentos!$A:$BA,9,FALSE)</f>
        <v>0</v>
      </c>
      <c r="J19" s="111">
        <f>VLOOKUP($A19,Alimentos!$A:$BA,10,FALSE)</f>
        <v>0</v>
      </c>
      <c r="K19" s="111">
        <f>VLOOKUP($A19,Alimentos!$A:$BA,11,FALSE)</f>
        <v>0</v>
      </c>
      <c r="L19" s="111">
        <f>VLOOKUP($A19,Alimentos!$A:$BA,12,FALSE)</f>
        <v>0</v>
      </c>
      <c r="M19" s="111">
        <f>VLOOKUP($A19,Alimentos!$A:$BA,13,FALSE)</f>
        <v>0</v>
      </c>
      <c r="N19" s="111">
        <f>VLOOKUP($A19,Alimentos!$A:$BA,14,FALSE)</f>
        <v>0</v>
      </c>
      <c r="O19" s="90">
        <f>VLOOKUP($A19,Alimentos!$A:$BA,15,FALSE)</f>
        <v>0</v>
      </c>
      <c r="P19" s="111">
        <f>VLOOKUP($A19,Alimentos!$A:$BA,16,FALSE)</f>
        <v>0</v>
      </c>
      <c r="Q19" s="111">
        <f>VLOOKUP($A19,Alimentos!$A:$BA,17,FALSE)</f>
        <v>0</v>
      </c>
      <c r="R19" s="111">
        <f>VLOOKUP($A19,Alimentos!$A:$BA,18,FALSE)</f>
        <v>0</v>
      </c>
      <c r="S19" s="111">
        <f>VLOOKUP($A19,Alimentos!$A:$BA,19,FALSE)</f>
        <v>0</v>
      </c>
      <c r="T19" s="111">
        <f>VLOOKUP($A19,Alimentos!$A:$BA,20,FALSE)</f>
        <v>0</v>
      </c>
      <c r="U19" s="111">
        <f>VLOOKUP($A19,Alimentos!$A:$BA,21,FALSE)</f>
        <v>0</v>
      </c>
      <c r="V19" s="111">
        <f>VLOOKUP($A19,Alimentos!$A:$BA,22,FALSE)</f>
        <v>0</v>
      </c>
      <c r="W19" s="112">
        <f>VLOOKUP($A19,Alimentos!$A:$BA,23,FALSE)</f>
        <v>0</v>
      </c>
      <c r="X19" s="112">
        <f>VLOOKUP($A19,Alimentos!$A:$BA,24,FALSE)</f>
        <v>0</v>
      </c>
      <c r="Y19" s="112">
        <f>VLOOKUP($A19,Alimentos!$A:$BA,25,FALSE)</f>
        <v>0</v>
      </c>
      <c r="Z19" s="112">
        <f>VLOOKUP($A19,Alimentos!$A:$BA,26,FALSE)</f>
        <v>0</v>
      </c>
      <c r="AA19" s="112">
        <f>VLOOKUP($A19,Alimentos!$A:$BA,27,FALSE)</f>
        <v>0</v>
      </c>
      <c r="AB19" s="112">
        <f>VLOOKUP($A19,Alimentos!$A:$BA,28,FALSE)</f>
        <v>0</v>
      </c>
      <c r="AC19" s="112">
        <f>VLOOKUP($A19,Alimentos!$A:$BA,29,FALSE)</f>
        <v>0</v>
      </c>
      <c r="AD19" s="112">
        <f>VLOOKUP($A19,Alimentos!$A:$BA,30,FALSE)</f>
        <v>0</v>
      </c>
      <c r="AE19" s="112">
        <f>VLOOKUP($A19,Alimentos!$A:$BA,31,FALSE)</f>
        <v>0</v>
      </c>
      <c r="AF19" s="113">
        <f>VLOOKUP($A19,Alimentos!$A:$BA,32,FALSE)</f>
        <v>0</v>
      </c>
      <c r="AG19" s="113">
        <f>VLOOKUP($A19,Alimentos!$A:$BA,33,FALSE)</f>
        <v>0</v>
      </c>
      <c r="AH19" s="113">
        <f>VLOOKUP($A19,Alimentos!$A:$BA,34,FALSE)</f>
        <v>0</v>
      </c>
      <c r="AI19" s="113">
        <f>VLOOKUP($A19,Alimentos!$A:$BA,35,FALSE)</f>
        <v>0</v>
      </c>
      <c r="AJ19" s="113">
        <f>VLOOKUP($A19,Alimentos!$A:$BA,36,FALSE)</f>
        <v>0</v>
      </c>
      <c r="AK19" s="113">
        <f>VLOOKUP($A19,Alimentos!$A:$BA,37,FALSE)</f>
        <v>0</v>
      </c>
      <c r="AL19" s="113">
        <f>VLOOKUP($A19,Alimentos!$A:$BA,38,FALSE)</f>
        <v>0</v>
      </c>
      <c r="AM19" s="113">
        <f>VLOOKUP($A19,Alimentos!$A:$BA,39,FALSE)</f>
        <v>0</v>
      </c>
      <c r="AN19" s="113">
        <f>VLOOKUP($A19,Alimentos!$A:$BA,40,FALSE)</f>
        <v>0</v>
      </c>
      <c r="AO19" s="113">
        <f>VLOOKUP($A19,Alimentos!$A:$BA,41,FALSE)</f>
        <v>0</v>
      </c>
      <c r="AP19" s="113">
        <f>VLOOKUP($A19,Alimentos!$A:$BA,42,FALSE)</f>
        <v>0</v>
      </c>
      <c r="AQ19" s="113">
        <f>VLOOKUP($A19,Alimentos!$A:$BA,43,FALSE)</f>
        <v>0</v>
      </c>
      <c r="AR19" s="113">
        <f>VLOOKUP($A19,Alimentos!$A:$BA,44,FALSE)</f>
        <v>0</v>
      </c>
      <c r="AS19" s="113">
        <f>VLOOKUP($A19,Alimentos!$A:$BA,45,FALSE)</f>
        <v>0</v>
      </c>
    </row>
    <row r="20" spans="1:46" x14ac:dyDescent="0.25">
      <c r="A20" s="108" t="s">
        <v>60</v>
      </c>
      <c r="B20" s="109">
        <f>VLOOKUP($A20,Alimentos!$A:$BA,2,FALSE)</f>
        <v>0</v>
      </c>
      <c r="C20" s="114">
        <f>VLOOKUP($A20,Alimentos!$A:$BA,4,FALSE)</f>
        <v>0</v>
      </c>
      <c r="E20" s="111">
        <f>VLOOKUP($A20,Alimentos!$A:$BA,5,FALSE)</f>
        <v>0</v>
      </c>
      <c r="F20" s="111">
        <f>VLOOKUP($A20,Alimentos!$A:$BA,6,FALSE)</f>
        <v>0</v>
      </c>
      <c r="G20" s="111">
        <f>VLOOKUP($A20,Alimentos!$A:$BA,7,FALSE)</f>
        <v>0</v>
      </c>
      <c r="H20" s="111">
        <f>VLOOKUP($A20,Alimentos!$A:$BA,8,FALSE)</f>
        <v>0</v>
      </c>
      <c r="I20" s="111">
        <f>VLOOKUP($A20,Alimentos!$A:$BA,9,FALSE)</f>
        <v>0</v>
      </c>
      <c r="J20" s="111">
        <f>VLOOKUP($A20,Alimentos!$A:$BA,10,FALSE)</f>
        <v>0</v>
      </c>
      <c r="K20" s="111">
        <f>VLOOKUP($A20,Alimentos!$A:$BA,11,FALSE)</f>
        <v>0</v>
      </c>
      <c r="L20" s="111">
        <f>VLOOKUP($A20,Alimentos!$A:$BA,12,FALSE)</f>
        <v>0</v>
      </c>
      <c r="M20" s="111">
        <f>VLOOKUP($A20,Alimentos!$A:$BA,13,FALSE)</f>
        <v>0</v>
      </c>
      <c r="N20" s="111">
        <f>VLOOKUP($A20,Alimentos!$A:$BA,14,FALSE)</f>
        <v>0</v>
      </c>
      <c r="O20" s="90">
        <f>VLOOKUP($A20,Alimentos!$A:$BA,15,FALSE)</f>
        <v>0</v>
      </c>
      <c r="P20" s="111">
        <f>VLOOKUP($A20,Alimentos!$A:$BA,16,FALSE)</f>
        <v>0</v>
      </c>
      <c r="Q20" s="111">
        <f>VLOOKUP($A20,Alimentos!$A:$BA,17,FALSE)</f>
        <v>0</v>
      </c>
      <c r="R20" s="111">
        <f>VLOOKUP($A20,Alimentos!$A:$BA,18,FALSE)</f>
        <v>0</v>
      </c>
      <c r="S20" s="111">
        <f>VLOOKUP($A20,Alimentos!$A:$BA,19,FALSE)</f>
        <v>0</v>
      </c>
      <c r="T20" s="111">
        <f>VLOOKUP($A20,Alimentos!$A:$BA,20,FALSE)</f>
        <v>0</v>
      </c>
      <c r="U20" s="111">
        <f>VLOOKUP($A20,Alimentos!$A:$BA,21,FALSE)</f>
        <v>0</v>
      </c>
      <c r="V20" s="111">
        <f>VLOOKUP($A20,Alimentos!$A:$BA,22,FALSE)</f>
        <v>0</v>
      </c>
      <c r="W20" s="112">
        <f>VLOOKUP($A20,Alimentos!$A:$BA,23,FALSE)</f>
        <v>0</v>
      </c>
      <c r="X20" s="112">
        <f>VLOOKUP($A20,Alimentos!$A:$BA,24,FALSE)</f>
        <v>0</v>
      </c>
      <c r="Y20" s="112">
        <f>VLOOKUP($A20,Alimentos!$A:$BA,25,FALSE)</f>
        <v>0</v>
      </c>
      <c r="Z20" s="112">
        <f>VLOOKUP($A20,Alimentos!$A:$BA,26,FALSE)</f>
        <v>0</v>
      </c>
      <c r="AA20" s="112">
        <f>VLOOKUP($A20,Alimentos!$A:$BA,27,FALSE)</f>
        <v>0</v>
      </c>
      <c r="AB20" s="112">
        <f>VLOOKUP($A20,Alimentos!$A:$BA,28,FALSE)</f>
        <v>0</v>
      </c>
      <c r="AC20" s="112">
        <f>VLOOKUP($A20,Alimentos!$A:$BA,29,FALSE)</f>
        <v>0</v>
      </c>
      <c r="AD20" s="112">
        <f>VLOOKUP($A20,Alimentos!$A:$BA,30,FALSE)</f>
        <v>0</v>
      </c>
      <c r="AE20" s="112">
        <f>VLOOKUP($A20,Alimentos!$A:$BA,31,FALSE)</f>
        <v>0</v>
      </c>
      <c r="AF20" s="113">
        <f>VLOOKUP($A20,Alimentos!$A:$BA,32,FALSE)</f>
        <v>0</v>
      </c>
      <c r="AG20" s="113">
        <f>VLOOKUP($A20,Alimentos!$A:$BA,33,FALSE)</f>
        <v>0</v>
      </c>
      <c r="AH20" s="113">
        <f>VLOOKUP($A20,Alimentos!$A:$BA,34,FALSE)</f>
        <v>0</v>
      </c>
      <c r="AI20" s="113">
        <f>VLOOKUP($A20,Alimentos!$A:$BA,35,FALSE)</f>
        <v>0</v>
      </c>
      <c r="AJ20" s="113">
        <f>VLOOKUP($A20,Alimentos!$A:$BA,36,FALSE)</f>
        <v>0</v>
      </c>
      <c r="AK20" s="113">
        <f>VLOOKUP($A20,Alimentos!$A:$BA,37,FALSE)</f>
        <v>0</v>
      </c>
      <c r="AL20" s="113">
        <f>VLOOKUP($A20,Alimentos!$A:$BA,38,FALSE)</f>
        <v>0</v>
      </c>
      <c r="AM20" s="113">
        <f>VLOOKUP($A20,Alimentos!$A:$BA,39,FALSE)</f>
        <v>0</v>
      </c>
      <c r="AN20" s="113">
        <f>VLOOKUP($A20,Alimentos!$A:$BA,40,FALSE)</f>
        <v>0</v>
      </c>
      <c r="AO20" s="113">
        <f>VLOOKUP($A20,Alimentos!$A:$BA,41,FALSE)</f>
        <v>0</v>
      </c>
      <c r="AP20" s="113">
        <f>VLOOKUP($A20,Alimentos!$A:$BA,42,FALSE)</f>
        <v>0</v>
      </c>
      <c r="AQ20" s="113">
        <f>VLOOKUP($A20,Alimentos!$A:$BA,43,FALSE)</f>
        <v>0</v>
      </c>
      <c r="AR20" s="113">
        <f>VLOOKUP($A20,Alimentos!$A:$BA,44,FALSE)</f>
        <v>0</v>
      </c>
      <c r="AS20" s="113">
        <f>VLOOKUP($A20,Alimentos!$A:$BA,45,FALSE)</f>
        <v>0</v>
      </c>
    </row>
    <row r="21" spans="1:46" ht="17.25" thickBot="1" x14ac:dyDescent="0.3">
      <c r="A21" s="116" t="s">
        <v>60</v>
      </c>
      <c r="B21" s="117">
        <f>VLOOKUP($A21,Alimentos!$A:$BA,2,FALSE)</f>
        <v>0</v>
      </c>
      <c r="C21" s="118">
        <f>VLOOKUP($A21,Alimentos!$A:$BA,4,FALSE)</f>
        <v>0</v>
      </c>
      <c r="D21" s="119"/>
      <c r="E21" s="120">
        <f>VLOOKUP($A21,Alimentos!$A:$BA,5,FALSE)</f>
        <v>0</v>
      </c>
      <c r="F21" s="120">
        <f>VLOOKUP($A21,Alimentos!$A:$BA,6,FALSE)</f>
        <v>0</v>
      </c>
      <c r="G21" s="120">
        <f>VLOOKUP($A21,Alimentos!$A:$BA,7,FALSE)</f>
        <v>0</v>
      </c>
      <c r="H21" s="120">
        <f>VLOOKUP($A21,Alimentos!$A:$BA,8,FALSE)</f>
        <v>0</v>
      </c>
      <c r="I21" s="120">
        <f>VLOOKUP($A21,Alimentos!$A:$BA,9,FALSE)</f>
        <v>0</v>
      </c>
      <c r="J21" s="120">
        <f>VLOOKUP($A21,Alimentos!$A:$BA,10,FALSE)</f>
        <v>0</v>
      </c>
      <c r="K21" s="120">
        <f>VLOOKUP($A21,Alimentos!$A:$BA,11,FALSE)</f>
        <v>0</v>
      </c>
      <c r="L21" s="120">
        <f>VLOOKUP($A21,Alimentos!$A:$BA,12,FALSE)</f>
        <v>0</v>
      </c>
      <c r="M21" s="120">
        <f>VLOOKUP($A21,Alimentos!$A:$BA,13,FALSE)</f>
        <v>0</v>
      </c>
      <c r="N21" s="120">
        <f>VLOOKUP($A21,Alimentos!$A:$BA,14,FALSE)</f>
        <v>0</v>
      </c>
      <c r="O21" s="121">
        <f>VLOOKUP($A21,Alimentos!$A:$BA,15,FALSE)</f>
        <v>0</v>
      </c>
      <c r="P21" s="120">
        <f>VLOOKUP($A21,Alimentos!$A:$BA,16,FALSE)</f>
        <v>0</v>
      </c>
      <c r="Q21" s="120">
        <f>VLOOKUP($A21,Alimentos!$A:$BA,17,FALSE)</f>
        <v>0</v>
      </c>
      <c r="R21" s="120">
        <f>VLOOKUP($A21,Alimentos!$A:$BA,18,FALSE)</f>
        <v>0</v>
      </c>
      <c r="S21" s="120">
        <f>VLOOKUP($A21,Alimentos!$A:$BA,19,FALSE)</f>
        <v>0</v>
      </c>
      <c r="T21" s="120">
        <f>VLOOKUP($A21,Alimentos!$A:$BA,20,FALSE)</f>
        <v>0</v>
      </c>
      <c r="U21" s="120">
        <f>VLOOKUP($A21,Alimentos!$A:$BA,21,FALSE)</f>
        <v>0</v>
      </c>
      <c r="V21" s="120">
        <f>VLOOKUP($A21,Alimentos!$A:$BA,22,FALSE)</f>
        <v>0</v>
      </c>
      <c r="W21" s="122">
        <f>VLOOKUP($A21,Alimentos!$A:$BA,23,FALSE)</f>
        <v>0</v>
      </c>
      <c r="X21" s="122">
        <f>VLOOKUP($A21,Alimentos!$A:$BA,24,FALSE)</f>
        <v>0</v>
      </c>
      <c r="Y21" s="122">
        <f>VLOOKUP($A21,Alimentos!$A:$BA,25,FALSE)</f>
        <v>0</v>
      </c>
      <c r="Z21" s="122">
        <f>VLOOKUP($A21,Alimentos!$A:$BA,26,FALSE)</f>
        <v>0</v>
      </c>
      <c r="AA21" s="122">
        <f>VLOOKUP($A21,Alimentos!$A:$BA,27,FALSE)</f>
        <v>0</v>
      </c>
      <c r="AB21" s="122">
        <f>VLOOKUP($A21,Alimentos!$A:$BA,28,FALSE)</f>
        <v>0</v>
      </c>
      <c r="AC21" s="122">
        <f>VLOOKUP($A21,Alimentos!$A:$BA,29,FALSE)</f>
        <v>0</v>
      </c>
      <c r="AD21" s="122">
        <f>VLOOKUP($A21,Alimentos!$A:$BA,30,FALSE)</f>
        <v>0</v>
      </c>
      <c r="AE21" s="122">
        <f>VLOOKUP($A21,Alimentos!$A:$BA,31,FALSE)</f>
        <v>0</v>
      </c>
      <c r="AF21" s="123">
        <f>VLOOKUP($A21,Alimentos!$A:$BA,32,FALSE)</f>
        <v>0</v>
      </c>
      <c r="AG21" s="123">
        <f>VLOOKUP($A21,Alimentos!$A:$BA,33,FALSE)</f>
        <v>0</v>
      </c>
      <c r="AH21" s="123">
        <f>VLOOKUP($A21,Alimentos!$A:$BA,34,FALSE)</f>
        <v>0</v>
      </c>
      <c r="AI21" s="123">
        <f>VLOOKUP($A21,Alimentos!$A:$BA,35,FALSE)</f>
        <v>0</v>
      </c>
      <c r="AJ21" s="123">
        <f>VLOOKUP($A21,Alimentos!$A:$BA,36,FALSE)</f>
        <v>0</v>
      </c>
      <c r="AK21" s="123">
        <f>VLOOKUP($A21,Alimentos!$A:$BA,37,FALSE)</f>
        <v>0</v>
      </c>
      <c r="AL21" s="123">
        <f>VLOOKUP($A21,Alimentos!$A:$BA,38,FALSE)</f>
        <v>0</v>
      </c>
      <c r="AM21" s="123">
        <f>VLOOKUP($A21,Alimentos!$A:$BA,39,FALSE)</f>
        <v>0</v>
      </c>
      <c r="AN21" s="123">
        <f>VLOOKUP($A21,Alimentos!$A:$BA,40,FALSE)</f>
        <v>0</v>
      </c>
      <c r="AO21" s="123">
        <f>VLOOKUP($A21,Alimentos!$A:$BA,41,FALSE)</f>
        <v>0</v>
      </c>
      <c r="AP21" s="123">
        <f>VLOOKUP($A21,Alimentos!$A:$BA,42,FALSE)</f>
        <v>0</v>
      </c>
      <c r="AQ21" s="123">
        <f>VLOOKUP($A21,Alimentos!$A:$BA,43,FALSE)</f>
        <v>0</v>
      </c>
      <c r="AR21" s="123">
        <f>VLOOKUP($A21,Alimentos!$A:$BA,44,FALSE)</f>
        <v>0</v>
      </c>
      <c r="AS21" s="123">
        <f>VLOOKUP($A21,Alimentos!$A:$BA,45,FALSE)</f>
        <v>0</v>
      </c>
    </row>
    <row r="22" spans="1:46" ht="17.25" thickTop="1" x14ac:dyDescent="0.25">
      <c r="E22" s="82"/>
      <c r="AF22" s="77"/>
      <c r="AG22" s="77"/>
      <c r="AH22" s="77"/>
      <c r="AI22" s="77"/>
    </row>
    <row r="23" spans="1:46" s="98" customFormat="1" x14ac:dyDescent="0.25">
      <c r="A23" s="98" t="s">
        <v>1</v>
      </c>
      <c r="B23" s="85" t="str">
        <f>B4</f>
        <v>R$/Kg MN</v>
      </c>
      <c r="C23" s="85" t="s">
        <v>30</v>
      </c>
      <c r="D23" s="85" t="s">
        <v>3</v>
      </c>
      <c r="E23" s="82" t="s">
        <v>30</v>
      </c>
      <c r="F23" s="85" t="s">
        <v>30</v>
      </c>
      <c r="G23" s="85" t="s">
        <v>30</v>
      </c>
      <c r="H23" s="85" t="s">
        <v>30</v>
      </c>
      <c r="I23" s="85" t="s">
        <v>30</v>
      </c>
      <c r="J23" s="94" t="s">
        <v>30</v>
      </c>
      <c r="K23" s="94" t="s">
        <v>30</v>
      </c>
      <c r="L23" s="94" t="s">
        <v>30</v>
      </c>
      <c r="M23" s="85" t="s">
        <v>30</v>
      </c>
      <c r="N23" s="85" t="s">
        <v>30</v>
      </c>
      <c r="O23" s="94" t="s">
        <v>31</v>
      </c>
      <c r="P23" s="94" t="s">
        <v>30</v>
      </c>
      <c r="Q23" s="94" t="s">
        <v>30</v>
      </c>
      <c r="R23" s="94" t="s">
        <v>30</v>
      </c>
      <c r="S23" s="85" t="s">
        <v>30</v>
      </c>
      <c r="T23" s="85" t="s">
        <v>30</v>
      </c>
      <c r="U23" s="94" t="s">
        <v>30</v>
      </c>
      <c r="V23" s="94" t="s">
        <v>30</v>
      </c>
      <c r="W23" s="85" t="s">
        <v>30</v>
      </c>
      <c r="X23" s="85" t="s">
        <v>30</v>
      </c>
      <c r="Y23" s="85" t="s">
        <v>30</v>
      </c>
      <c r="Z23" s="85" t="s">
        <v>30</v>
      </c>
      <c r="AA23" s="85" t="s">
        <v>30</v>
      </c>
      <c r="AB23" s="85" t="s">
        <v>30</v>
      </c>
      <c r="AC23" s="85" t="s">
        <v>30</v>
      </c>
      <c r="AD23" s="85" t="s">
        <v>30</v>
      </c>
      <c r="AE23" s="85" t="s">
        <v>30</v>
      </c>
      <c r="AF23" s="85" t="s">
        <v>49</v>
      </c>
      <c r="AG23" s="85" t="s">
        <v>49</v>
      </c>
      <c r="AH23" s="85" t="s">
        <v>49</v>
      </c>
      <c r="AI23" s="85" t="s">
        <v>49</v>
      </c>
      <c r="AJ23" s="85" t="s">
        <v>49</v>
      </c>
      <c r="AK23" s="85" t="s">
        <v>49</v>
      </c>
      <c r="AL23" s="85" t="s">
        <v>49</v>
      </c>
      <c r="AM23" s="85" t="s">
        <v>50</v>
      </c>
      <c r="AN23" s="85" t="s">
        <v>50</v>
      </c>
      <c r="AO23" s="85" t="s">
        <v>51</v>
      </c>
      <c r="AP23" s="85" t="s">
        <v>49</v>
      </c>
      <c r="AQ23" s="85" t="s">
        <v>49</v>
      </c>
      <c r="AR23" s="85" t="s">
        <v>49</v>
      </c>
      <c r="AS23" s="85" t="s">
        <v>173</v>
      </c>
    </row>
    <row r="24" spans="1:46" s="98" customFormat="1" ht="17.25" thickBot="1" x14ac:dyDescent="0.3">
      <c r="A24" s="98" t="s">
        <v>5</v>
      </c>
      <c r="B24" s="85" t="s">
        <v>6</v>
      </c>
      <c r="C24" s="85" t="s">
        <v>66</v>
      </c>
      <c r="D24" s="85" t="s">
        <v>7</v>
      </c>
      <c r="E24" s="82" t="s">
        <v>7</v>
      </c>
      <c r="F24" s="85" t="s">
        <v>8</v>
      </c>
      <c r="G24" s="85" t="s">
        <v>9</v>
      </c>
      <c r="H24" s="95" t="s">
        <v>67</v>
      </c>
      <c r="I24" s="85" t="s">
        <v>10</v>
      </c>
      <c r="J24" s="94" t="s">
        <v>11</v>
      </c>
      <c r="K24" s="94" t="s">
        <v>112</v>
      </c>
      <c r="L24" s="94" t="s">
        <v>113</v>
      </c>
      <c r="M24" s="85" t="s">
        <v>12</v>
      </c>
      <c r="N24" s="85" t="s">
        <v>13</v>
      </c>
      <c r="O24" s="95" t="s">
        <v>14</v>
      </c>
      <c r="P24" s="94" t="s">
        <v>15</v>
      </c>
      <c r="Q24" s="94" t="s">
        <v>115</v>
      </c>
      <c r="R24" s="94" t="s">
        <v>114</v>
      </c>
      <c r="S24" s="93" t="s">
        <v>17</v>
      </c>
      <c r="T24" s="93" t="s">
        <v>18</v>
      </c>
      <c r="U24" s="94" t="s">
        <v>99</v>
      </c>
      <c r="V24" s="94" t="s">
        <v>102</v>
      </c>
      <c r="W24" s="96" t="s">
        <v>19</v>
      </c>
      <c r="X24" s="96" t="s">
        <v>20</v>
      </c>
      <c r="Y24" s="96" t="s">
        <v>21</v>
      </c>
      <c r="Z24" s="96" t="s">
        <v>22</v>
      </c>
      <c r="AA24" s="96" t="s">
        <v>23</v>
      </c>
      <c r="AB24" s="96" t="s">
        <v>24</v>
      </c>
      <c r="AC24" s="96" t="s">
        <v>25</v>
      </c>
      <c r="AD24" s="96" t="s">
        <v>26</v>
      </c>
      <c r="AE24" s="96" t="s">
        <v>27</v>
      </c>
      <c r="AF24" s="97" t="s">
        <v>37</v>
      </c>
      <c r="AG24" s="97" t="s">
        <v>38</v>
      </c>
      <c r="AH24" s="97" t="s">
        <v>41</v>
      </c>
      <c r="AI24" s="97" t="s">
        <v>43</v>
      </c>
      <c r="AJ24" s="97" t="s">
        <v>42</v>
      </c>
      <c r="AK24" s="97" t="s">
        <v>40</v>
      </c>
      <c r="AL24" s="97" t="s">
        <v>39</v>
      </c>
      <c r="AM24" s="97" t="s">
        <v>44</v>
      </c>
      <c r="AN24" s="97" t="s">
        <v>45</v>
      </c>
      <c r="AO24" s="97" t="s">
        <v>46</v>
      </c>
      <c r="AP24" s="97" t="s">
        <v>47</v>
      </c>
      <c r="AQ24" s="97" t="s">
        <v>48</v>
      </c>
      <c r="AR24" s="97" t="s">
        <v>170</v>
      </c>
      <c r="AS24" s="97" t="s">
        <v>171</v>
      </c>
    </row>
    <row r="25" spans="1:46" ht="17.25" thickTop="1" x14ac:dyDescent="0.25">
      <c r="A25" s="124" t="str">
        <f>A6</f>
        <v>x</v>
      </c>
      <c r="B25" s="90">
        <f t="shared" ref="B25:B40" si="0">C25*B6</f>
        <v>0</v>
      </c>
      <c r="C25" s="125"/>
      <c r="D25" s="111" t="e">
        <f t="shared" ref="D25:D40" si="1">E25/E$43</f>
        <v>#DIV/0!</v>
      </c>
      <c r="E25" s="90">
        <f t="shared" ref="E25:E40" si="2">C25*E6</f>
        <v>0</v>
      </c>
      <c r="F25" s="109">
        <f t="shared" ref="F25:Q40" si="3">$E25*F6</f>
        <v>0</v>
      </c>
      <c r="G25" s="109">
        <f t="shared" si="3"/>
        <v>0</v>
      </c>
      <c r="H25" s="109">
        <f t="shared" si="3"/>
        <v>0</v>
      </c>
      <c r="I25" s="109">
        <f t="shared" si="3"/>
        <v>0</v>
      </c>
      <c r="J25" s="109">
        <f t="shared" si="3"/>
        <v>0</v>
      </c>
      <c r="K25" s="109">
        <f>IF(AT25="S",((((I6*K6*100)*0.9465)+4.5798)/100)*E25,IF(AT25="F",I6*K6*E25,0))</f>
        <v>0</v>
      </c>
      <c r="L25" s="109">
        <f>IF(AT25="S",((((I6*L6*100)*1.0083)+0.4502)/100)*E25,IF(AT25="F",I6*L6*E25,0))</f>
        <v>0</v>
      </c>
      <c r="M25" s="109">
        <f t="shared" ref="M25:U40" si="4">$E25*M6</f>
        <v>0</v>
      </c>
      <c r="N25" s="109">
        <f t="shared" si="4"/>
        <v>0</v>
      </c>
      <c r="O25" s="90">
        <f t="shared" si="4"/>
        <v>0</v>
      </c>
      <c r="P25" s="109">
        <f t="shared" si="4"/>
        <v>0</v>
      </c>
      <c r="Q25" s="109">
        <f t="shared" si="4"/>
        <v>0</v>
      </c>
      <c r="R25" s="109">
        <f t="shared" si="4"/>
        <v>0</v>
      </c>
      <c r="S25" s="109">
        <f t="shared" si="4"/>
        <v>0</v>
      </c>
      <c r="T25" s="109">
        <f t="shared" si="4"/>
        <v>0</v>
      </c>
      <c r="U25" s="109">
        <f t="shared" si="4"/>
        <v>0</v>
      </c>
      <c r="V25" s="109" t="e">
        <f t="shared" ref="V25:V40" si="5">(V6/(V6+I$51))*U25</f>
        <v>#DIV/0!</v>
      </c>
      <c r="W25" s="109">
        <f t="shared" ref="W25:AS36" si="6">$E25*W6</f>
        <v>0</v>
      </c>
      <c r="X25" s="109">
        <f t="shared" si="6"/>
        <v>0</v>
      </c>
      <c r="Y25" s="109">
        <f t="shared" si="6"/>
        <v>0</v>
      </c>
      <c r="Z25" s="109">
        <f t="shared" si="6"/>
        <v>0</v>
      </c>
      <c r="AA25" s="109">
        <f t="shared" si="6"/>
        <v>0</v>
      </c>
      <c r="AB25" s="109">
        <f t="shared" si="6"/>
        <v>0</v>
      </c>
      <c r="AC25" s="109">
        <f t="shared" si="6"/>
        <v>0</v>
      </c>
      <c r="AD25" s="109">
        <f t="shared" si="6"/>
        <v>0</v>
      </c>
      <c r="AE25" s="109">
        <f t="shared" si="6"/>
        <v>0</v>
      </c>
      <c r="AF25" s="126">
        <f t="shared" si="6"/>
        <v>0</v>
      </c>
      <c r="AG25" s="126">
        <f t="shared" si="6"/>
        <v>0</v>
      </c>
      <c r="AH25" s="126">
        <f t="shared" si="6"/>
        <v>0</v>
      </c>
      <c r="AI25" s="126">
        <f t="shared" si="6"/>
        <v>0</v>
      </c>
      <c r="AJ25" s="126">
        <f t="shared" si="6"/>
        <v>0</v>
      </c>
      <c r="AK25" s="126">
        <f t="shared" si="6"/>
        <v>0</v>
      </c>
      <c r="AL25" s="126">
        <f t="shared" si="6"/>
        <v>0</v>
      </c>
      <c r="AM25" s="126">
        <f t="shared" si="6"/>
        <v>0</v>
      </c>
      <c r="AN25" s="126">
        <f t="shared" si="6"/>
        <v>0</v>
      </c>
      <c r="AO25" s="126">
        <f t="shared" si="6"/>
        <v>0</v>
      </c>
      <c r="AP25" s="126">
        <f t="shared" si="6"/>
        <v>0</v>
      </c>
      <c r="AQ25" s="126">
        <f t="shared" si="6"/>
        <v>0</v>
      </c>
      <c r="AR25" s="126">
        <f t="shared" si="6"/>
        <v>0</v>
      </c>
      <c r="AS25" s="126">
        <f t="shared" si="6"/>
        <v>0</v>
      </c>
      <c r="AT25" s="113">
        <f t="shared" ref="AT25:AT40" si="7">C6</f>
        <v>0</v>
      </c>
    </row>
    <row r="26" spans="1:46" x14ac:dyDescent="0.25">
      <c r="A26" s="124" t="str">
        <f>A7</f>
        <v>x</v>
      </c>
      <c r="B26" s="90">
        <f t="shared" si="0"/>
        <v>0</v>
      </c>
      <c r="C26" s="127"/>
      <c r="D26" s="111" t="e">
        <f t="shared" si="1"/>
        <v>#DIV/0!</v>
      </c>
      <c r="E26" s="90">
        <f t="shared" si="2"/>
        <v>0</v>
      </c>
      <c r="F26" s="109">
        <f t="shared" si="3"/>
        <v>0</v>
      </c>
      <c r="G26" s="109">
        <f t="shared" si="3"/>
        <v>0</v>
      </c>
      <c r="H26" s="109">
        <f t="shared" si="3"/>
        <v>0</v>
      </c>
      <c r="I26" s="109">
        <f t="shared" si="3"/>
        <v>0</v>
      </c>
      <c r="J26" s="109">
        <f t="shared" si="3"/>
        <v>0</v>
      </c>
      <c r="K26" s="109">
        <f t="shared" ref="K26:K40" si="8">IF(AT26="S",((((I7*K7*100)*0.9465)+4.5798)/100)*E26,IF(AT26="F",I7*K7*E26,0))</f>
        <v>0</v>
      </c>
      <c r="L26" s="109">
        <f t="shared" ref="L26:L40" si="9">IF(AT26="S",((((I7*L7*100)*1.0083)+0.4502)/100)*E26,IF(AT26="F",I7*L7*E26,0))</f>
        <v>0</v>
      </c>
      <c r="M26" s="109">
        <f t="shared" si="4"/>
        <v>0</v>
      </c>
      <c r="N26" s="109">
        <f t="shared" si="4"/>
        <v>0</v>
      </c>
      <c r="O26" s="90">
        <f t="shared" si="4"/>
        <v>0</v>
      </c>
      <c r="P26" s="109">
        <f t="shared" si="4"/>
        <v>0</v>
      </c>
      <c r="Q26" s="109">
        <f t="shared" si="4"/>
        <v>0</v>
      </c>
      <c r="R26" s="109">
        <f t="shared" si="4"/>
        <v>0</v>
      </c>
      <c r="S26" s="109">
        <f t="shared" si="4"/>
        <v>0</v>
      </c>
      <c r="T26" s="109">
        <f t="shared" si="4"/>
        <v>0</v>
      </c>
      <c r="U26" s="109">
        <f t="shared" si="4"/>
        <v>0</v>
      </c>
      <c r="V26" s="109" t="e">
        <f t="shared" si="5"/>
        <v>#DIV/0!</v>
      </c>
      <c r="W26" s="109">
        <f t="shared" si="6"/>
        <v>0</v>
      </c>
      <c r="X26" s="109">
        <f t="shared" si="6"/>
        <v>0</v>
      </c>
      <c r="Y26" s="109">
        <f t="shared" si="6"/>
        <v>0</v>
      </c>
      <c r="Z26" s="109">
        <f t="shared" si="6"/>
        <v>0</v>
      </c>
      <c r="AA26" s="109">
        <f t="shared" si="6"/>
        <v>0</v>
      </c>
      <c r="AB26" s="109">
        <f t="shared" si="6"/>
        <v>0</v>
      </c>
      <c r="AC26" s="109">
        <f t="shared" si="6"/>
        <v>0</v>
      </c>
      <c r="AD26" s="109">
        <f t="shared" si="6"/>
        <v>0</v>
      </c>
      <c r="AE26" s="109">
        <f t="shared" si="6"/>
        <v>0</v>
      </c>
      <c r="AF26" s="126">
        <f t="shared" si="6"/>
        <v>0</v>
      </c>
      <c r="AG26" s="126">
        <f t="shared" si="6"/>
        <v>0</v>
      </c>
      <c r="AH26" s="126">
        <f t="shared" si="6"/>
        <v>0</v>
      </c>
      <c r="AI26" s="126">
        <f t="shared" si="6"/>
        <v>0</v>
      </c>
      <c r="AJ26" s="126">
        <f t="shared" si="6"/>
        <v>0</v>
      </c>
      <c r="AK26" s="126">
        <f t="shared" si="6"/>
        <v>0</v>
      </c>
      <c r="AL26" s="126">
        <f t="shared" si="6"/>
        <v>0</v>
      </c>
      <c r="AM26" s="126">
        <f t="shared" si="6"/>
        <v>0</v>
      </c>
      <c r="AN26" s="126">
        <f t="shared" si="6"/>
        <v>0</v>
      </c>
      <c r="AO26" s="126">
        <f t="shared" si="6"/>
        <v>0</v>
      </c>
      <c r="AP26" s="126">
        <f t="shared" si="6"/>
        <v>0</v>
      </c>
      <c r="AQ26" s="126">
        <f t="shared" si="6"/>
        <v>0</v>
      </c>
      <c r="AR26" s="126">
        <f t="shared" si="6"/>
        <v>0</v>
      </c>
      <c r="AS26" s="126">
        <f t="shared" si="6"/>
        <v>0</v>
      </c>
      <c r="AT26" s="113">
        <f t="shared" si="7"/>
        <v>0</v>
      </c>
    </row>
    <row r="27" spans="1:46" x14ac:dyDescent="0.25">
      <c r="A27" s="124" t="str">
        <f>A8</f>
        <v>x</v>
      </c>
      <c r="B27" s="90">
        <f t="shared" si="0"/>
        <v>0</v>
      </c>
      <c r="C27" s="127"/>
      <c r="D27" s="111" t="e">
        <f t="shared" si="1"/>
        <v>#DIV/0!</v>
      </c>
      <c r="E27" s="90">
        <f t="shared" si="2"/>
        <v>0</v>
      </c>
      <c r="F27" s="109">
        <f t="shared" si="3"/>
        <v>0</v>
      </c>
      <c r="G27" s="109">
        <f t="shared" si="3"/>
        <v>0</v>
      </c>
      <c r="H27" s="109">
        <f t="shared" si="3"/>
        <v>0</v>
      </c>
      <c r="I27" s="109">
        <f t="shared" si="3"/>
        <v>0</v>
      </c>
      <c r="J27" s="109">
        <f t="shared" si="3"/>
        <v>0</v>
      </c>
      <c r="K27" s="109">
        <f t="shared" si="8"/>
        <v>0</v>
      </c>
      <c r="L27" s="109">
        <f t="shared" si="9"/>
        <v>0</v>
      </c>
      <c r="M27" s="109">
        <f t="shared" si="4"/>
        <v>0</v>
      </c>
      <c r="N27" s="109">
        <f t="shared" si="4"/>
        <v>0</v>
      </c>
      <c r="O27" s="90">
        <f t="shared" si="4"/>
        <v>0</v>
      </c>
      <c r="P27" s="109">
        <f t="shared" si="4"/>
        <v>0</v>
      </c>
      <c r="Q27" s="109">
        <f t="shared" si="4"/>
        <v>0</v>
      </c>
      <c r="R27" s="109">
        <f t="shared" si="4"/>
        <v>0</v>
      </c>
      <c r="S27" s="109">
        <f t="shared" si="4"/>
        <v>0</v>
      </c>
      <c r="T27" s="109">
        <f t="shared" si="4"/>
        <v>0</v>
      </c>
      <c r="U27" s="109">
        <f t="shared" si="4"/>
        <v>0</v>
      </c>
      <c r="V27" s="109" t="e">
        <f t="shared" si="5"/>
        <v>#DIV/0!</v>
      </c>
      <c r="W27" s="109">
        <f t="shared" si="6"/>
        <v>0</v>
      </c>
      <c r="X27" s="109">
        <f t="shared" si="6"/>
        <v>0</v>
      </c>
      <c r="Y27" s="109">
        <f t="shared" si="6"/>
        <v>0</v>
      </c>
      <c r="Z27" s="109">
        <f t="shared" si="6"/>
        <v>0</v>
      </c>
      <c r="AA27" s="109">
        <f t="shared" si="6"/>
        <v>0</v>
      </c>
      <c r="AB27" s="109">
        <f t="shared" si="6"/>
        <v>0</v>
      </c>
      <c r="AC27" s="109">
        <f t="shared" si="6"/>
        <v>0</v>
      </c>
      <c r="AD27" s="109">
        <f t="shared" si="6"/>
        <v>0</v>
      </c>
      <c r="AE27" s="109">
        <f t="shared" si="6"/>
        <v>0</v>
      </c>
      <c r="AF27" s="126">
        <f t="shared" si="6"/>
        <v>0</v>
      </c>
      <c r="AG27" s="126">
        <f t="shared" si="6"/>
        <v>0</v>
      </c>
      <c r="AH27" s="126">
        <f t="shared" si="6"/>
        <v>0</v>
      </c>
      <c r="AI27" s="126">
        <f t="shared" si="6"/>
        <v>0</v>
      </c>
      <c r="AJ27" s="126">
        <f t="shared" si="6"/>
        <v>0</v>
      </c>
      <c r="AK27" s="126">
        <f t="shared" si="6"/>
        <v>0</v>
      </c>
      <c r="AL27" s="126">
        <f t="shared" si="6"/>
        <v>0</v>
      </c>
      <c r="AM27" s="126">
        <f t="shared" si="6"/>
        <v>0</v>
      </c>
      <c r="AN27" s="126">
        <f t="shared" si="6"/>
        <v>0</v>
      </c>
      <c r="AO27" s="126">
        <f t="shared" si="6"/>
        <v>0</v>
      </c>
      <c r="AP27" s="126">
        <f t="shared" si="6"/>
        <v>0</v>
      </c>
      <c r="AQ27" s="126">
        <f t="shared" si="6"/>
        <v>0</v>
      </c>
      <c r="AR27" s="126">
        <f t="shared" si="6"/>
        <v>0</v>
      </c>
      <c r="AS27" s="126">
        <f t="shared" si="6"/>
        <v>0</v>
      </c>
      <c r="AT27" s="113">
        <f t="shared" si="7"/>
        <v>0</v>
      </c>
    </row>
    <row r="28" spans="1:46" x14ac:dyDescent="0.25">
      <c r="A28" s="124" t="str">
        <f>A9</f>
        <v>x</v>
      </c>
      <c r="B28" s="90">
        <f t="shared" si="0"/>
        <v>0</v>
      </c>
      <c r="C28" s="127"/>
      <c r="D28" s="111" t="e">
        <f t="shared" si="1"/>
        <v>#DIV/0!</v>
      </c>
      <c r="E28" s="90">
        <f t="shared" si="2"/>
        <v>0</v>
      </c>
      <c r="F28" s="109">
        <f t="shared" si="3"/>
        <v>0</v>
      </c>
      <c r="G28" s="109">
        <f t="shared" si="3"/>
        <v>0</v>
      </c>
      <c r="H28" s="109">
        <f t="shared" si="3"/>
        <v>0</v>
      </c>
      <c r="I28" s="109">
        <f t="shared" si="3"/>
        <v>0</v>
      </c>
      <c r="J28" s="109">
        <f t="shared" si="3"/>
        <v>0</v>
      </c>
      <c r="K28" s="109">
        <f t="shared" si="8"/>
        <v>0</v>
      </c>
      <c r="L28" s="109">
        <f t="shared" si="9"/>
        <v>0</v>
      </c>
      <c r="M28" s="109">
        <f t="shared" si="4"/>
        <v>0</v>
      </c>
      <c r="N28" s="109">
        <f t="shared" si="4"/>
        <v>0</v>
      </c>
      <c r="O28" s="90">
        <f t="shared" si="4"/>
        <v>0</v>
      </c>
      <c r="P28" s="109">
        <f t="shared" si="4"/>
        <v>0</v>
      </c>
      <c r="Q28" s="109">
        <f t="shared" si="4"/>
        <v>0</v>
      </c>
      <c r="R28" s="109">
        <f t="shared" si="4"/>
        <v>0</v>
      </c>
      <c r="S28" s="109">
        <f t="shared" si="4"/>
        <v>0</v>
      </c>
      <c r="T28" s="109">
        <f t="shared" si="4"/>
        <v>0</v>
      </c>
      <c r="U28" s="109">
        <f t="shared" si="4"/>
        <v>0</v>
      </c>
      <c r="V28" s="109" t="e">
        <f t="shared" si="5"/>
        <v>#DIV/0!</v>
      </c>
      <c r="W28" s="109">
        <f t="shared" si="6"/>
        <v>0</v>
      </c>
      <c r="X28" s="109">
        <f t="shared" si="6"/>
        <v>0</v>
      </c>
      <c r="Y28" s="109">
        <f t="shared" si="6"/>
        <v>0</v>
      </c>
      <c r="Z28" s="109">
        <f t="shared" si="6"/>
        <v>0</v>
      </c>
      <c r="AA28" s="109">
        <f t="shared" si="6"/>
        <v>0</v>
      </c>
      <c r="AB28" s="109">
        <f t="shared" si="6"/>
        <v>0</v>
      </c>
      <c r="AC28" s="109">
        <f t="shared" si="6"/>
        <v>0</v>
      </c>
      <c r="AD28" s="109">
        <f t="shared" si="6"/>
        <v>0</v>
      </c>
      <c r="AE28" s="109">
        <f t="shared" si="6"/>
        <v>0</v>
      </c>
      <c r="AF28" s="126">
        <f t="shared" si="6"/>
        <v>0</v>
      </c>
      <c r="AG28" s="126">
        <f t="shared" si="6"/>
        <v>0</v>
      </c>
      <c r="AH28" s="126">
        <f t="shared" si="6"/>
        <v>0</v>
      </c>
      <c r="AI28" s="126">
        <f t="shared" si="6"/>
        <v>0</v>
      </c>
      <c r="AJ28" s="126">
        <f t="shared" si="6"/>
        <v>0</v>
      </c>
      <c r="AK28" s="126">
        <f t="shared" si="6"/>
        <v>0</v>
      </c>
      <c r="AL28" s="126">
        <f t="shared" si="6"/>
        <v>0</v>
      </c>
      <c r="AM28" s="126">
        <f t="shared" si="6"/>
        <v>0</v>
      </c>
      <c r="AN28" s="126">
        <f t="shared" si="6"/>
        <v>0</v>
      </c>
      <c r="AO28" s="126">
        <f t="shared" si="6"/>
        <v>0</v>
      </c>
      <c r="AP28" s="126">
        <f t="shared" si="6"/>
        <v>0</v>
      </c>
      <c r="AQ28" s="126">
        <f t="shared" si="6"/>
        <v>0</v>
      </c>
      <c r="AR28" s="126">
        <f t="shared" si="6"/>
        <v>0</v>
      </c>
      <c r="AS28" s="126">
        <f t="shared" si="6"/>
        <v>0</v>
      </c>
      <c r="AT28" s="113">
        <f t="shared" si="7"/>
        <v>0</v>
      </c>
    </row>
    <row r="29" spans="1:46" x14ac:dyDescent="0.25">
      <c r="A29" s="124" t="str">
        <f>A10</f>
        <v>x</v>
      </c>
      <c r="B29" s="90">
        <f t="shared" si="0"/>
        <v>0</v>
      </c>
      <c r="C29" s="127"/>
      <c r="D29" s="111" t="e">
        <f t="shared" si="1"/>
        <v>#DIV/0!</v>
      </c>
      <c r="E29" s="90">
        <f t="shared" si="2"/>
        <v>0</v>
      </c>
      <c r="F29" s="109">
        <f t="shared" si="3"/>
        <v>0</v>
      </c>
      <c r="G29" s="109">
        <f t="shared" si="3"/>
        <v>0</v>
      </c>
      <c r="H29" s="109">
        <f t="shared" si="3"/>
        <v>0</v>
      </c>
      <c r="I29" s="109">
        <f t="shared" si="3"/>
        <v>0</v>
      </c>
      <c r="J29" s="109">
        <f>$E29*J10</f>
        <v>0</v>
      </c>
      <c r="K29" s="109">
        <f t="shared" si="8"/>
        <v>0</v>
      </c>
      <c r="L29" s="109">
        <f t="shared" si="9"/>
        <v>0</v>
      </c>
      <c r="M29" s="109">
        <f t="shared" si="4"/>
        <v>0</v>
      </c>
      <c r="N29" s="109">
        <f t="shared" si="4"/>
        <v>0</v>
      </c>
      <c r="O29" s="90">
        <f t="shared" si="4"/>
        <v>0</v>
      </c>
      <c r="P29" s="109">
        <f t="shared" si="4"/>
        <v>0</v>
      </c>
      <c r="Q29" s="109">
        <f t="shared" si="4"/>
        <v>0</v>
      </c>
      <c r="R29" s="109">
        <f t="shared" si="4"/>
        <v>0</v>
      </c>
      <c r="S29" s="109">
        <f t="shared" si="4"/>
        <v>0</v>
      </c>
      <c r="T29" s="109">
        <f t="shared" si="4"/>
        <v>0</v>
      </c>
      <c r="U29" s="109">
        <f t="shared" si="4"/>
        <v>0</v>
      </c>
      <c r="V29" s="109" t="e">
        <f t="shared" si="5"/>
        <v>#DIV/0!</v>
      </c>
      <c r="W29" s="109">
        <f t="shared" si="6"/>
        <v>0</v>
      </c>
      <c r="X29" s="109">
        <f t="shared" si="6"/>
        <v>0</v>
      </c>
      <c r="Y29" s="109">
        <f t="shared" si="6"/>
        <v>0</v>
      </c>
      <c r="Z29" s="109">
        <f t="shared" si="6"/>
        <v>0</v>
      </c>
      <c r="AA29" s="109">
        <f t="shared" si="6"/>
        <v>0</v>
      </c>
      <c r="AB29" s="109">
        <f t="shared" si="6"/>
        <v>0</v>
      </c>
      <c r="AC29" s="109">
        <f t="shared" si="6"/>
        <v>0</v>
      </c>
      <c r="AD29" s="109">
        <f t="shared" si="6"/>
        <v>0</v>
      </c>
      <c r="AE29" s="109">
        <f t="shared" si="6"/>
        <v>0</v>
      </c>
      <c r="AF29" s="126">
        <f t="shared" si="6"/>
        <v>0</v>
      </c>
      <c r="AG29" s="126">
        <f t="shared" si="6"/>
        <v>0</v>
      </c>
      <c r="AH29" s="126">
        <f t="shared" si="6"/>
        <v>0</v>
      </c>
      <c r="AI29" s="126">
        <f t="shared" si="6"/>
        <v>0</v>
      </c>
      <c r="AJ29" s="126">
        <f t="shared" si="6"/>
        <v>0</v>
      </c>
      <c r="AK29" s="126">
        <f t="shared" si="6"/>
        <v>0</v>
      </c>
      <c r="AL29" s="126">
        <f t="shared" si="6"/>
        <v>0</v>
      </c>
      <c r="AM29" s="126">
        <f t="shared" si="6"/>
        <v>0</v>
      </c>
      <c r="AN29" s="126">
        <f t="shared" si="6"/>
        <v>0</v>
      </c>
      <c r="AO29" s="126">
        <f t="shared" si="6"/>
        <v>0</v>
      </c>
      <c r="AP29" s="126">
        <f t="shared" si="6"/>
        <v>0</v>
      </c>
      <c r="AQ29" s="126">
        <f t="shared" si="6"/>
        <v>0</v>
      </c>
      <c r="AR29" s="126">
        <f t="shared" si="6"/>
        <v>0</v>
      </c>
      <c r="AS29" s="126">
        <f t="shared" si="6"/>
        <v>0</v>
      </c>
      <c r="AT29" s="113">
        <f t="shared" si="7"/>
        <v>0</v>
      </c>
    </row>
    <row r="30" spans="1:46" x14ac:dyDescent="0.25">
      <c r="A30" s="124" t="str">
        <f t="shared" ref="A30:A40" si="10">A11</f>
        <v>x</v>
      </c>
      <c r="B30" s="90">
        <f t="shared" si="0"/>
        <v>0</v>
      </c>
      <c r="C30" s="127"/>
      <c r="D30" s="111" t="e">
        <f t="shared" si="1"/>
        <v>#DIV/0!</v>
      </c>
      <c r="E30" s="90">
        <f t="shared" si="2"/>
        <v>0</v>
      </c>
      <c r="F30" s="109">
        <f t="shared" si="3"/>
        <v>0</v>
      </c>
      <c r="G30" s="109">
        <f t="shared" si="3"/>
        <v>0</v>
      </c>
      <c r="H30" s="109">
        <f t="shared" si="3"/>
        <v>0</v>
      </c>
      <c r="I30" s="109">
        <f t="shared" si="3"/>
        <v>0</v>
      </c>
      <c r="J30" s="109">
        <f t="shared" si="3"/>
        <v>0</v>
      </c>
      <c r="K30" s="109">
        <f t="shared" si="8"/>
        <v>0</v>
      </c>
      <c r="L30" s="109">
        <f t="shared" si="9"/>
        <v>0</v>
      </c>
      <c r="M30" s="109">
        <f t="shared" si="4"/>
        <v>0</v>
      </c>
      <c r="N30" s="109">
        <f t="shared" si="4"/>
        <v>0</v>
      </c>
      <c r="O30" s="90">
        <f t="shared" si="4"/>
        <v>0</v>
      </c>
      <c r="P30" s="109">
        <f t="shared" si="4"/>
        <v>0</v>
      </c>
      <c r="Q30" s="109">
        <f t="shared" si="4"/>
        <v>0</v>
      </c>
      <c r="R30" s="109">
        <f t="shared" si="4"/>
        <v>0</v>
      </c>
      <c r="S30" s="109">
        <f t="shared" si="4"/>
        <v>0</v>
      </c>
      <c r="T30" s="109">
        <f t="shared" si="4"/>
        <v>0</v>
      </c>
      <c r="U30" s="109">
        <f t="shared" si="4"/>
        <v>0</v>
      </c>
      <c r="V30" s="109" t="e">
        <f t="shared" si="5"/>
        <v>#DIV/0!</v>
      </c>
      <c r="W30" s="109">
        <f t="shared" si="6"/>
        <v>0</v>
      </c>
      <c r="X30" s="109">
        <f t="shared" si="6"/>
        <v>0</v>
      </c>
      <c r="Y30" s="109">
        <f t="shared" si="6"/>
        <v>0</v>
      </c>
      <c r="Z30" s="109">
        <f t="shared" si="6"/>
        <v>0</v>
      </c>
      <c r="AA30" s="109">
        <f t="shared" si="6"/>
        <v>0</v>
      </c>
      <c r="AB30" s="109">
        <f t="shared" si="6"/>
        <v>0</v>
      </c>
      <c r="AC30" s="109">
        <f t="shared" si="6"/>
        <v>0</v>
      </c>
      <c r="AD30" s="109">
        <f t="shared" si="6"/>
        <v>0</v>
      </c>
      <c r="AE30" s="109">
        <f t="shared" si="6"/>
        <v>0</v>
      </c>
      <c r="AF30" s="126">
        <f t="shared" si="6"/>
        <v>0</v>
      </c>
      <c r="AG30" s="126">
        <f t="shared" si="6"/>
        <v>0</v>
      </c>
      <c r="AH30" s="126">
        <f t="shared" si="6"/>
        <v>0</v>
      </c>
      <c r="AI30" s="126">
        <f t="shared" si="6"/>
        <v>0</v>
      </c>
      <c r="AJ30" s="126">
        <f t="shared" si="6"/>
        <v>0</v>
      </c>
      <c r="AK30" s="126">
        <f t="shared" si="6"/>
        <v>0</v>
      </c>
      <c r="AL30" s="126">
        <f t="shared" si="6"/>
        <v>0</v>
      </c>
      <c r="AM30" s="126">
        <f t="shared" si="6"/>
        <v>0</v>
      </c>
      <c r="AN30" s="126">
        <f t="shared" si="6"/>
        <v>0</v>
      </c>
      <c r="AO30" s="126">
        <f t="shared" si="6"/>
        <v>0</v>
      </c>
      <c r="AP30" s="126">
        <f t="shared" si="6"/>
        <v>0</v>
      </c>
      <c r="AQ30" s="126">
        <f t="shared" si="6"/>
        <v>0</v>
      </c>
      <c r="AR30" s="126">
        <f t="shared" si="6"/>
        <v>0</v>
      </c>
      <c r="AS30" s="126">
        <f t="shared" si="6"/>
        <v>0</v>
      </c>
      <c r="AT30" s="113">
        <f t="shared" si="7"/>
        <v>0</v>
      </c>
    </row>
    <row r="31" spans="1:46" x14ac:dyDescent="0.25">
      <c r="A31" s="124" t="str">
        <f t="shared" si="10"/>
        <v>x</v>
      </c>
      <c r="B31" s="90">
        <f t="shared" si="0"/>
        <v>0</v>
      </c>
      <c r="C31" s="127"/>
      <c r="D31" s="111" t="e">
        <f t="shared" si="1"/>
        <v>#DIV/0!</v>
      </c>
      <c r="E31" s="90">
        <f t="shared" si="2"/>
        <v>0</v>
      </c>
      <c r="F31" s="109">
        <f t="shared" si="3"/>
        <v>0</v>
      </c>
      <c r="G31" s="109">
        <f t="shared" si="3"/>
        <v>0</v>
      </c>
      <c r="H31" s="109">
        <f t="shared" si="3"/>
        <v>0</v>
      </c>
      <c r="I31" s="109">
        <f t="shared" si="3"/>
        <v>0</v>
      </c>
      <c r="J31" s="109">
        <f t="shared" si="3"/>
        <v>0</v>
      </c>
      <c r="K31" s="109">
        <f t="shared" si="8"/>
        <v>0</v>
      </c>
      <c r="L31" s="109">
        <f t="shared" si="9"/>
        <v>0</v>
      </c>
      <c r="M31" s="109">
        <f t="shared" si="4"/>
        <v>0</v>
      </c>
      <c r="N31" s="109">
        <f t="shared" si="4"/>
        <v>0</v>
      </c>
      <c r="O31" s="90">
        <f t="shared" si="4"/>
        <v>0</v>
      </c>
      <c r="P31" s="109">
        <f t="shared" si="4"/>
        <v>0</v>
      </c>
      <c r="Q31" s="109">
        <f t="shared" si="4"/>
        <v>0</v>
      </c>
      <c r="R31" s="109">
        <f t="shared" si="4"/>
        <v>0</v>
      </c>
      <c r="S31" s="109">
        <f t="shared" si="4"/>
        <v>0</v>
      </c>
      <c r="T31" s="109">
        <f t="shared" si="4"/>
        <v>0</v>
      </c>
      <c r="U31" s="109">
        <f t="shared" si="4"/>
        <v>0</v>
      </c>
      <c r="V31" s="109" t="e">
        <f t="shared" si="5"/>
        <v>#DIV/0!</v>
      </c>
      <c r="W31" s="109">
        <f t="shared" si="6"/>
        <v>0</v>
      </c>
      <c r="X31" s="109">
        <f t="shared" si="6"/>
        <v>0</v>
      </c>
      <c r="Y31" s="109">
        <f t="shared" si="6"/>
        <v>0</v>
      </c>
      <c r="Z31" s="109">
        <f t="shared" si="6"/>
        <v>0</v>
      </c>
      <c r="AA31" s="109">
        <f t="shared" si="6"/>
        <v>0</v>
      </c>
      <c r="AB31" s="109">
        <f t="shared" si="6"/>
        <v>0</v>
      </c>
      <c r="AC31" s="109">
        <f t="shared" si="6"/>
        <v>0</v>
      </c>
      <c r="AD31" s="109">
        <f t="shared" si="6"/>
        <v>0</v>
      </c>
      <c r="AE31" s="109">
        <f t="shared" si="6"/>
        <v>0</v>
      </c>
      <c r="AF31" s="126">
        <f t="shared" si="6"/>
        <v>0</v>
      </c>
      <c r="AG31" s="126">
        <f t="shared" si="6"/>
        <v>0</v>
      </c>
      <c r="AH31" s="126">
        <f t="shared" si="6"/>
        <v>0</v>
      </c>
      <c r="AI31" s="126">
        <f t="shared" si="6"/>
        <v>0</v>
      </c>
      <c r="AJ31" s="126">
        <f t="shared" si="6"/>
        <v>0</v>
      </c>
      <c r="AK31" s="126">
        <f t="shared" si="6"/>
        <v>0</v>
      </c>
      <c r="AL31" s="126">
        <f t="shared" si="6"/>
        <v>0</v>
      </c>
      <c r="AM31" s="126">
        <f t="shared" si="6"/>
        <v>0</v>
      </c>
      <c r="AN31" s="126">
        <f t="shared" si="6"/>
        <v>0</v>
      </c>
      <c r="AO31" s="126">
        <f t="shared" si="6"/>
        <v>0</v>
      </c>
      <c r="AP31" s="126">
        <f t="shared" si="6"/>
        <v>0</v>
      </c>
      <c r="AQ31" s="126">
        <f t="shared" si="6"/>
        <v>0</v>
      </c>
      <c r="AR31" s="126">
        <f t="shared" si="6"/>
        <v>0</v>
      </c>
      <c r="AS31" s="126">
        <f t="shared" si="6"/>
        <v>0</v>
      </c>
      <c r="AT31" s="113">
        <f t="shared" si="7"/>
        <v>0</v>
      </c>
    </row>
    <row r="32" spans="1:46" x14ac:dyDescent="0.25">
      <c r="A32" s="124" t="str">
        <f t="shared" si="10"/>
        <v>x</v>
      </c>
      <c r="B32" s="90">
        <f t="shared" si="0"/>
        <v>0</v>
      </c>
      <c r="C32" s="127"/>
      <c r="D32" s="111" t="e">
        <f t="shared" si="1"/>
        <v>#DIV/0!</v>
      </c>
      <c r="E32" s="90">
        <f t="shared" si="2"/>
        <v>0</v>
      </c>
      <c r="F32" s="109">
        <f t="shared" si="3"/>
        <v>0</v>
      </c>
      <c r="G32" s="109">
        <f t="shared" si="3"/>
        <v>0</v>
      </c>
      <c r="H32" s="109">
        <f t="shared" si="3"/>
        <v>0</v>
      </c>
      <c r="I32" s="109">
        <f t="shared" si="3"/>
        <v>0</v>
      </c>
      <c r="J32" s="109">
        <f t="shared" si="3"/>
        <v>0</v>
      </c>
      <c r="K32" s="109">
        <f t="shared" si="8"/>
        <v>0</v>
      </c>
      <c r="L32" s="109">
        <f t="shared" si="9"/>
        <v>0</v>
      </c>
      <c r="M32" s="109">
        <f t="shared" si="4"/>
        <v>0</v>
      </c>
      <c r="N32" s="109">
        <f t="shared" si="4"/>
        <v>0</v>
      </c>
      <c r="O32" s="90">
        <f t="shared" si="4"/>
        <v>0</v>
      </c>
      <c r="P32" s="109">
        <f t="shared" si="4"/>
        <v>0</v>
      </c>
      <c r="Q32" s="109">
        <f t="shared" si="4"/>
        <v>0</v>
      </c>
      <c r="R32" s="109">
        <f t="shared" si="4"/>
        <v>0</v>
      </c>
      <c r="S32" s="109">
        <f t="shared" si="4"/>
        <v>0</v>
      </c>
      <c r="T32" s="109">
        <f t="shared" si="4"/>
        <v>0</v>
      </c>
      <c r="U32" s="109">
        <f t="shared" si="4"/>
        <v>0</v>
      </c>
      <c r="V32" s="109" t="e">
        <f t="shared" si="5"/>
        <v>#DIV/0!</v>
      </c>
      <c r="W32" s="109">
        <f t="shared" si="6"/>
        <v>0</v>
      </c>
      <c r="X32" s="109">
        <f t="shared" si="6"/>
        <v>0</v>
      </c>
      <c r="Y32" s="109">
        <f t="shared" si="6"/>
        <v>0</v>
      </c>
      <c r="Z32" s="109">
        <f t="shared" si="6"/>
        <v>0</v>
      </c>
      <c r="AA32" s="109">
        <f t="shared" si="6"/>
        <v>0</v>
      </c>
      <c r="AB32" s="109">
        <f t="shared" si="6"/>
        <v>0</v>
      </c>
      <c r="AC32" s="109">
        <f t="shared" si="6"/>
        <v>0</v>
      </c>
      <c r="AD32" s="109">
        <f t="shared" si="6"/>
        <v>0</v>
      </c>
      <c r="AE32" s="109">
        <f t="shared" si="6"/>
        <v>0</v>
      </c>
      <c r="AF32" s="126">
        <f t="shared" si="6"/>
        <v>0</v>
      </c>
      <c r="AG32" s="126">
        <f t="shared" si="6"/>
        <v>0</v>
      </c>
      <c r="AH32" s="126">
        <f t="shared" si="6"/>
        <v>0</v>
      </c>
      <c r="AI32" s="126">
        <f t="shared" si="6"/>
        <v>0</v>
      </c>
      <c r="AJ32" s="126">
        <f t="shared" si="6"/>
        <v>0</v>
      </c>
      <c r="AK32" s="126">
        <f t="shared" si="6"/>
        <v>0</v>
      </c>
      <c r="AL32" s="126">
        <f t="shared" si="6"/>
        <v>0</v>
      </c>
      <c r="AM32" s="128">
        <f t="shared" si="6"/>
        <v>0</v>
      </c>
      <c r="AN32" s="128">
        <f t="shared" si="6"/>
        <v>0</v>
      </c>
      <c r="AO32" s="128">
        <f t="shared" si="6"/>
        <v>0</v>
      </c>
      <c r="AP32" s="126">
        <f t="shared" si="6"/>
        <v>0</v>
      </c>
      <c r="AQ32" s="126">
        <f t="shared" si="6"/>
        <v>0</v>
      </c>
      <c r="AR32" s="126">
        <f t="shared" si="6"/>
        <v>0</v>
      </c>
      <c r="AS32" s="126">
        <f t="shared" si="6"/>
        <v>0</v>
      </c>
      <c r="AT32" s="113">
        <f t="shared" si="7"/>
        <v>0</v>
      </c>
    </row>
    <row r="33" spans="1:47" x14ac:dyDescent="0.25">
      <c r="A33" s="124" t="str">
        <f t="shared" si="10"/>
        <v>x</v>
      </c>
      <c r="B33" s="90">
        <f t="shared" si="0"/>
        <v>0</v>
      </c>
      <c r="C33" s="127"/>
      <c r="D33" s="111" t="e">
        <f t="shared" si="1"/>
        <v>#DIV/0!</v>
      </c>
      <c r="E33" s="90">
        <f t="shared" si="2"/>
        <v>0</v>
      </c>
      <c r="F33" s="109">
        <f t="shared" si="3"/>
        <v>0</v>
      </c>
      <c r="G33" s="109">
        <f t="shared" si="3"/>
        <v>0</v>
      </c>
      <c r="H33" s="109">
        <f t="shared" si="3"/>
        <v>0</v>
      </c>
      <c r="I33" s="109">
        <f t="shared" si="3"/>
        <v>0</v>
      </c>
      <c r="J33" s="109">
        <f t="shared" si="3"/>
        <v>0</v>
      </c>
      <c r="K33" s="109">
        <f t="shared" si="8"/>
        <v>0</v>
      </c>
      <c r="L33" s="109">
        <f t="shared" si="9"/>
        <v>0</v>
      </c>
      <c r="M33" s="109">
        <f t="shared" si="3"/>
        <v>0</v>
      </c>
      <c r="N33" s="109">
        <f t="shared" si="3"/>
        <v>0</v>
      </c>
      <c r="O33" s="90">
        <f t="shared" si="3"/>
        <v>0</v>
      </c>
      <c r="P33" s="109">
        <f t="shared" si="3"/>
        <v>0</v>
      </c>
      <c r="Q33" s="109">
        <f t="shared" si="3"/>
        <v>0</v>
      </c>
      <c r="R33" s="109">
        <f t="shared" si="4"/>
        <v>0</v>
      </c>
      <c r="S33" s="109">
        <f t="shared" si="4"/>
        <v>0</v>
      </c>
      <c r="T33" s="109">
        <f t="shared" si="4"/>
        <v>0</v>
      </c>
      <c r="U33" s="109">
        <f t="shared" si="4"/>
        <v>0</v>
      </c>
      <c r="V33" s="109" t="e">
        <f t="shared" si="5"/>
        <v>#DIV/0!</v>
      </c>
      <c r="W33" s="109">
        <f t="shared" si="6"/>
        <v>0</v>
      </c>
      <c r="X33" s="109">
        <f t="shared" si="6"/>
        <v>0</v>
      </c>
      <c r="Y33" s="109">
        <f t="shared" si="6"/>
        <v>0</v>
      </c>
      <c r="Z33" s="109">
        <f t="shared" si="6"/>
        <v>0</v>
      </c>
      <c r="AA33" s="109">
        <f t="shared" si="6"/>
        <v>0</v>
      </c>
      <c r="AB33" s="109">
        <f t="shared" si="6"/>
        <v>0</v>
      </c>
      <c r="AC33" s="109">
        <f t="shared" si="6"/>
        <v>0</v>
      </c>
      <c r="AD33" s="109">
        <f t="shared" si="6"/>
        <v>0</v>
      </c>
      <c r="AE33" s="109">
        <f t="shared" si="6"/>
        <v>0</v>
      </c>
      <c r="AF33" s="126">
        <f t="shared" si="6"/>
        <v>0</v>
      </c>
      <c r="AG33" s="126">
        <f t="shared" si="6"/>
        <v>0</v>
      </c>
      <c r="AH33" s="126">
        <f t="shared" si="6"/>
        <v>0</v>
      </c>
      <c r="AI33" s="126">
        <f t="shared" si="6"/>
        <v>0</v>
      </c>
      <c r="AJ33" s="126">
        <f t="shared" si="6"/>
        <v>0</v>
      </c>
      <c r="AK33" s="126">
        <f t="shared" si="6"/>
        <v>0</v>
      </c>
      <c r="AL33" s="126">
        <f t="shared" si="6"/>
        <v>0</v>
      </c>
      <c r="AM33" s="126">
        <f t="shared" si="6"/>
        <v>0</v>
      </c>
      <c r="AN33" s="126">
        <f t="shared" si="6"/>
        <v>0</v>
      </c>
      <c r="AO33" s="126">
        <f t="shared" si="6"/>
        <v>0</v>
      </c>
      <c r="AP33" s="126">
        <f t="shared" si="6"/>
        <v>0</v>
      </c>
      <c r="AQ33" s="126">
        <f t="shared" si="6"/>
        <v>0</v>
      </c>
      <c r="AR33" s="126">
        <f t="shared" si="6"/>
        <v>0</v>
      </c>
      <c r="AS33" s="126">
        <f t="shared" si="6"/>
        <v>0</v>
      </c>
      <c r="AT33" s="113">
        <f t="shared" si="7"/>
        <v>0</v>
      </c>
    </row>
    <row r="34" spans="1:47" x14ac:dyDescent="0.25">
      <c r="A34" s="124" t="str">
        <f t="shared" si="10"/>
        <v>x</v>
      </c>
      <c r="B34" s="90">
        <f t="shared" si="0"/>
        <v>0</v>
      </c>
      <c r="C34" s="127"/>
      <c r="D34" s="111" t="e">
        <f t="shared" si="1"/>
        <v>#DIV/0!</v>
      </c>
      <c r="E34" s="90">
        <f t="shared" si="2"/>
        <v>0</v>
      </c>
      <c r="F34" s="109">
        <f t="shared" si="3"/>
        <v>0</v>
      </c>
      <c r="G34" s="109">
        <f t="shared" si="3"/>
        <v>0</v>
      </c>
      <c r="H34" s="109">
        <f t="shared" si="3"/>
        <v>0</v>
      </c>
      <c r="I34" s="109">
        <f t="shared" si="3"/>
        <v>0</v>
      </c>
      <c r="J34" s="109">
        <f t="shared" si="3"/>
        <v>0</v>
      </c>
      <c r="K34" s="109">
        <f t="shared" si="8"/>
        <v>0</v>
      </c>
      <c r="L34" s="109">
        <f t="shared" si="9"/>
        <v>0</v>
      </c>
      <c r="M34" s="109">
        <f t="shared" si="3"/>
        <v>0</v>
      </c>
      <c r="N34" s="109">
        <f t="shared" si="3"/>
        <v>0</v>
      </c>
      <c r="O34" s="90">
        <f t="shared" si="3"/>
        <v>0</v>
      </c>
      <c r="P34" s="109">
        <f t="shared" si="3"/>
        <v>0</v>
      </c>
      <c r="Q34" s="109">
        <f t="shared" si="3"/>
        <v>0</v>
      </c>
      <c r="R34" s="109">
        <f t="shared" si="4"/>
        <v>0</v>
      </c>
      <c r="S34" s="109">
        <f t="shared" si="4"/>
        <v>0</v>
      </c>
      <c r="T34" s="109">
        <f t="shared" si="4"/>
        <v>0</v>
      </c>
      <c r="U34" s="109">
        <f t="shared" si="4"/>
        <v>0</v>
      </c>
      <c r="V34" s="109" t="e">
        <f t="shared" si="5"/>
        <v>#DIV/0!</v>
      </c>
      <c r="W34" s="109">
        <f t="shared" si="6"/>
        <v>0</v>
      </c>
      <c r="X34" s="109">
        <f t="shared" si="6"/>
        <v>0</v>
      </c>
      <c r="Y34" s="109">
        <f t="shared" si="6"/>
        <v>0</v>
      </c>
      <c r="Z34" s="109">
        <f t="shared" si="6"/>
        <v>0</v>
      </c>
      <c r="AA34" s="109">
        <f t="shared" si="6"/>
        <v>0</v>
      </c>
      <c r="AB34" s="109">
        <f t="shared" si="6"/>
        <v>0</v>
      </c>
      <c r="AC34" s="109">
        <f t="shared" si="6"/>
        <v>0</v>
      </c>
      <c r="AD34" s="109">
        <f t="shared" si="6"/>
        <v>0</v>
      </c>
      <c r="AE34" s="109">
        <f t="shared" si="6"/>
        <v>0</v>
      </c>
      <c r="AF34" s="126">
        <f t="shared" si="6"/>
        <v>0</v>
      </c>
      <c r="AG34" s="126">
        <f t="shared" si="6"/>
        <v>0</v>
      </c>
      <c r="AH34" s="126">
        <f t="shared" si="6"/>
        <v>0</v>
      </c>
      <c r="AI34" s="126">
        <f t="shared" si="6"/>
        <v>0</v>
      </c>
      <c r="AJ34" s="126">
        <f t="shared" si="6"/>
        <v>0</v>
      </c>
      <c r="AK34" s="126">
        <f t="shared" si="6"/>
        <v>0</v>
      </c>
      <c r="AL34" s="126">
        <f t="shared" si="6"/>
        <v>0</v>
      </c>
      <c r="AM34" s="126">
        <f t="shared" si="6"/>
        <v>0</v>
      </c>
      <c r="AN34" s="126">
        <f t="shared" si="6"/>
        <v>0</v>
      </c>
      <c r="AO34" s="126">
        <f t="shared" si="6"/>
        <v>0</v>
      </c>
      <c r="AP34" s="126">
        <f t="shared" si="6"/>
        <v>0</v>
      </c>
      <c r="AQ34" s="126">
        <f t="shared" si="6"/>
        <v>0</v>
      </c>
      <c r="AR34" s="126">
        <f t="shared" si="6"/>
        <v>0</v>
      </c>
      <c r="AS34" s="126">
        <f t="shared" si="6"/>
        <v>0</v>
      </c>
      <c r="AT34" s="113">
        <f t="shared" si="7"/>
        <v>0</v>
      </c>
    </row>
    <row r="35" spans="1:47" x14ac:dyDescent="0.25">
      <c r="A35" s="124" t="str">
        <f t="shared" si="10"/>
        <v>x</v>
      </c>
      <c r="B35" s="90">
        <f t="shared" si="0"/>
        <v>0</v>
      </c>
      <c r="C35" s="127"/>
      <c r="D35" s="111" t="e">
        <f t="shared" si="1"/>
        <v>#DIV/0!</v>
      </c>
      <c r="E35" s="90">
        <f t="shared" si="2"/>
        <v>0</v>
      </c>
      <c r="F35" s="109">
        <f t="shared" si="3"/>
        <v>0</v>
      </c>
      <c r="G35" s="109">
        <f t="shared" si="3"/>
        <v>0</v>
      </c>
      <c r="H35" s="109">
        <f t="shared" si="3"/>
        <v>0</v>
      </c>
      <c r="I35" s="109">
        <f t="shared" si="3"/>
        <v>0</v>
      </c>
      <c r="J35" s="109">
        <f t="shared" si="3"/>
        <v>0</v>
      </c>
      <c r="K35" s="109">
        <f t="shared" si="8"/>
        <v>0</v>
      </c>
      <c r="L35" s="109">
        <f t="shared" si="9"/>
        <v>0</v>
      </c>
      <c r="M35" s="109">
        <f t="shared" si="3"/>
        <v>0</v>
      </c>
      <c r="N35" s="109">
        <f t="shared" si="3"/>
        <v>0</v>
      </c>
      <c r="O35" s="90">
        <f t="shared" si="3"/>
        <v>0</v>
      </c>
      <c r="P35" s="109">
        <f t="shared" si="3"/>
        <v>0</v>
      </c>
      <c r="Q35" s="109">
        <f t="shared" si="3"/>
        <v>0</v>
      </c>
      <c r="R35" s="109">
        <f t="shared" si="4"/>
        <v>0</v>
      </c>
      <c r="S35" s="109">
        <f t="shared" si="4"/>
        <v>0</v>
      </c>
      <c r="T35" s="109">
        <f t="shared" si="4"/>
        <v>0</v>
      </c>
      <c r="U35" s="109">
        <f t="shared" si="4"/>
        <v>0</v>
      </c>
      <c r="V35" s="109" t="e">
        <f t="shared" si="5"/>
        <v>#DIV/0!</v>
      </c>
      <c r="W35" s="109">
        <f t="shared" si="6"/>
        <v>0</v>
      </c>
      <c r="X35" s="109">
        <f t="shared" si="6"/>
        <v>0</v>
      </c>
      <c r="Y35" s="109">
        <f t="shared" si="6"/>
        <v>0</v>
      </c>
      <c r="Z35" s="109">
        <f t="shared" si="6"/>
        <v>0</v>
      </c>
      <c r="AA35" s="109">
        <f t="shared" si="6"/>
        <v>0</v>
      </c>
      <c r="AB35" s="109">
        <f t="shared" si="6"/>
        <v>0</v>
      </c>
      <c r="AC35" s="109">
        <f t="shared" si="6"/>
        <v>0</v>
      </c>
      <c r="AD35" s="109">
        <f t="shared" si="6"/>
        <v>0</v>
      </c>
      <c r="AE35" s="109">
        <f t="shared" si="6"/>
        <v>0</v>
      </c>
      <c r="AF35" s="126">
        <f t="shared" si="6"/>
        <v>0</v>
      </c>
      <c r="AG35" s="126">
        <f t="shared" si="6"/>
        <v>0</v>
      </c>
      <c r="AH35" s="126">
        <f t="shared" si="6"/>
        <v>0</v>
      </c>
      <c r="AI35" s="126">
        <f t="shared" si="6"/>
        <v>0</v>
      </c>
      <c r="AJ35" s="126">
        <f t="shared" si="6"/>
        <v>0</v>
      </c>
      <c r="AK35" s="126">
        <f t="shared" si="6"/>
        <v>0</v>
      </c>
      <c r="AL35" s="126">
        <f t="shared" si="6"/>
        <v>0</v>
      </c>
      <c r="AM35" s="126">
        <f t="shared" si="6"/>
        <v>0</v>
      </c>
      <c r="AN35" s="126">
        <f t="shared" si="6"/>
        <v>0</v>
      </c>
      <c r="AO35" s="126">
        <f t="shared" si="6"/>
        <v>0</v>
      </c>
      <c r="AP35" s="126">
        <f t="shared" si="6"/>
        <v>0</v>
      </c>
      <c r="AQ35" s="126">
        <f t="shared" si="6"/>
        <v>0</v>
      </c>
      <c r="AR35" s="126">
        <f t="shared" si="6"/>
        <v>0</v>
      </c>
      <c r="AS35" s="126">
        <f t="shared" si="6"/>
        <v>0</v>
      </c>
      <c r="AT35" s="113">
        <f t="shared" si="7"/>
        <v>0</v>
      </c>
    </row>
    <row r="36" spans="1:47" x14ac:dyDescent="0.25">
      <c r="A36" s="124" t="str">
        <f>A17</f>
        <v>x</v>
      </c>
      <c r="B36" s="90">
        <f t="shared" si="0"/>
        <v>0</v>
      </c>
      <c r="C36" s="127"/>
      <c r="D36" s="111" t="e">
        <f t="shared" si="1"/>
        <v>#DIV/0!</v>
      </c>
      <c r="E36" s="90">
        <f t="shared" si="2"/>
        <v>0</v>
      </c>
      <c r="F36" s="109">
        <f t="shared" si="3"/>
        <v>0</v>
      </c>
      <c r="G36" s="109">
        <f t="shared" si="3"/>
        <v>0</v>
      </c>
      <c r="H36" s="109">
        <f t="shared" si="3"/>
        <v>0</v>
      </c>
      <c r="I36" s="109">
        <f t="shared" si="3"/>
        <v>0</v>
      </c>
      <c r="J36" s="109">
        <f t="shared" si="3"/>
        <v>0</v>
      </c>
      <c r="K36" s="109">
        <f t="shared" si="8"/>
        <v>0</v>
      </c>
      <c r="L36" s="109">
        <f t="shared" si="9"/>
        <v>0</v>
      </c>
      <c r="M36" s="109">
        <f t="shared" si="3"/>
        <v>0</v>
      </c>
      <c r="N36" s="109">
        <f t="shared" si="3"/>
        <v>0</v>
      </c>
      <c r="O36" s="90">
        <f t="shared" si="3"/>
        <v>0</v>
      </c>
      <c r="P36" s="109">
        <f t="shared" si="3"/>
        <v>0</v>
      </c>
      <c r="Q36" s="109">
        <f t="shared" si="3"/>
        <v>0</v>
      </c>
      <c r="R36" s="109">
        <f t="shared" si="4"/>
        <v>0</v>
      </c>
      <c r="S36" s="109">
        <f t="shared" si="4"/>
        <v>0</v>
      </c>
      <c r="T36" s="109">
        <f t="shared" si="4"/>
        <v>0</v>
      </c>
      <c r="U36" s="109">
        <f t="shared" si="4"/>
        <v>0</v>
      </c>
      <c r="V36" s="109" t="e">
        <f t="shared" si="5"/>
        <v>#DIV/0!</v>
      </c>
      <c r="W36" s="109">
        <f t="shared" si="6"/>
        <v>0</v>
      </c>
      <c r="X36" s="109">
        <f t="shared" si="6"/>
        <v>0</v>
      </c>
      <c r="Y36" s="109">
        <f t="shared" ref="Y36:AS36" si="11">$E36*Y17</f>
        <v>0</v>
      </c>
      <c r="Z36" s="109">
        <f t="shared" si="11"/>
        <v>0</v>
      </c>
      <c r="AA36" s="109">
        <f t="shared" si="11"/>
        <v>0</v>
      </c>
      <c r="AB36" s="109">
        <f t="shared" si="11"/>
        <v>0</v>
      </c>
      <c r="AC36" s="109">
        <f t="shared" si="11"/>
        <v>0</v>
      </c>
      <c r="AD36" s="109">
        <f t="shared" si="11"/>
        <v>0</v>
      </c>
      <c r="AE36" s="109">
        <f t="shared" si="11"/>
        <v>0</v>
      </c>
      <c r="AF36" s="126">
        <f t="shared" si="11"/>
        <v>0</v>
      </c>
      <c r="AG36" s="126">
        <f t="shared" si="11"/>
        <v>0</v>
      </c>
      <c r="AH36" s="126">
        <f t="shared" si="11"/>
        <v>0</v>
      </c>
      <c r="AI36" s="126">
        <f t="shared" si="11"/>
        <v>0</v>
      </c>
      <c r="AJ36" s="126">
        <f t="shared" si="11"/>
        <v>0</v>
      </c>
      <c r="AK36" s="126">
        <f t="shared" si="11"/>
        <v>0</v>
      </c>
      <c r="AL36" s="126">
        <f t="shared" si="11"/>
        <v>0</v>
      </c>
      <c r="AM36" s="126">
        <f t="shared" si="11"/>
        <v>0</v>
      </c>
      <c r="AN36" s="126">
        <f t="shared" si="11"/>
        <v>0</v>
      </c>
      <c r="AO36" s="126">
        <f t="shared" si="11"/>
        <v>0</v>
      </c>
      <c r="AP36" s="126">
        <f t="shared" si="11"/>
        <v>0</v>
      </c>
      <c r="AQ36" s="126">
        <f t="shared" si="11"/>
        <v>0</v>
      </c>
      <c r="AR36" s="126">
        <f t="shared" si="11"/>
        <v>0</v>
      </c>
      <c r="AS36" s="126">
        <f t="shared" si="11"/>
        <v>0</v>
      </c>
      <c r="AT36" s="113">
        <f t="shared" si="7"/>
        <v>0</v>
      </c>
    </row>
    <row r="37" spans="1:47" x14ac:dyDescent="0.25">
      <c r="A37" s="124" t="str">
        <f t="shared" si="10"/>
        <v>x</v>
      </c>
      <c r="B37" s="90">
        <f t="shared" si="0"/>
        <v>0</v>
      </c>
      <c r="C37" s="127"/>
      <c r="D37" s="111" t="e">
        <f t="shared" si="1"/>
        <v>#DIV/0!</v>
      </c>
      <c r="E37" s="90">
        <f t="shared" si="2"/>
        <v>0</v>
      </c>
      <c r="F37" s="109">
        <f t="shared" si="3"/>
        <v>0</v>
      </c>
      <c r="G37" s="109">
        <f t="shared" si="3"/>
        <v>0</v>
      </c>
      <c r="H37" s="109">
        <f t="shared" si="3"/>
        <v>0</v>
      </c>
      <c r="I37" s="109">
        <f t="shared" si="3"/>
        <v>0</v>
      </c>
      <c r="J37" s="109">
        <f t="shared" si="3"/>
        <v>0</v>
      </c>
      <c r="K37" s="109">
        <f t="shared" si="8"/>
        <v>0</v>
      </c>
      <c r="L37" s="109">
        <f t="shared" si="9"/>
        <v>0</v>
      </c>
      <c r="M37" s="109">
        <f t="shared" si="3"/>
        <v>0</v>
      </c>
      <c r="N37" s="109">
        <f t="shared" si="3"/>
        <v>0</v>
      </c>
      <c r="O37" s="90">
        <f t="shared" si="3"/>
        <v>0</v>
      </c>
      <c r="P37" s="109">
        <f t="shared" si="3"/>
        <v>0</v>
      </c>
      <c r="Q37" s="109">
        <f t="shared" si="3"/>
        <v>0</v>
      </c>
      <c r="R37" s="109">
        <f t="shared" si="4"/>
        <v>0</v>
      </c>
      <c r="S37" s="109">
        <f t="shared" si="4"/>
        <v>0</v>
      </c>
      <c r="T37" s="109">
        <f t="shared" si="4"/>
        <v>0</v>
      </c>
      <c r="U37" s="109">
        <f t="shared" si="4"/>
        <v>0</v>
      </c>
      <c r="V37" s="109" t="e">
        <f t="shared" si="5"/>
        <v>#DIV/0!</v>
      </c>
      <c r="W37" s="109">
        <f t="shared" ref="W37:AS40" si="12">$E37*W18</f>
        <v>0</v>
      </c>
      <c r="X37" s="109">
        <f t="shared" si="12"/>
        <v>0</v>
      </c>
      <c r="Y37" s="109">
        <f t="shared" si="12"/>
        <v>0</v>
      </c>
      <c r="Z37" s="109">
        <f t="shared" si="12"/>
        <v>0</v>
      </c>
      <c r="AA37" s="109">
        <f t="shared" si="12"/>
        <v>0</v>
      </c>
      <c r="AB37" s="109">
        <f t="shared" si="12"/>
        <v>0</v>
      </c>
      <c r="AC37" s="109">
        <f t="shared" si="12"/>
        <v>0</v>
      </c>
      <c r="AD37" s="109">
        <f t="shared" si="12"/>
        <v>0</v>
      </c>
      <c r="AE37" s="109">
        <f t="shared" si="12"/>
        <v>0</v>
      </c>
      <c r="AF37" s="126">
        <f t="shared" si="12"/>
        <v>0</v>
      </c>
      <c r="AG37" s="126">
        <f t="shared" si="12"/>
        <v>0</v>
      </c>
      <c r="AH37" s="126">
        <f t="shared" si="12"/>
        <v>0</v>
      </c>
      <c r="AI37" s="126">
        <f t="shared" si="12"/>
        <v>0</v>
      </c>
      <c r="AJ37" s="126">
        <f t="shared" si="12"/>
        <v>0</v>
      </c>
      <c r="AK37" s="126">
        <f t="shared" si="12"/>
        <v>0</v>
      </c>
      <c r="AL37" s="126">
        <f t="shared" si="12"/>
        <v>0</v>
      </c>
      <c r="AM37" s="126">
        <f t="shared" si="12"/>
        <v>0</v>
      </c>
      <c r="AN37" s="126">
        <f t="shared" si="12"/>
        <v>0</v>
      </c>
      <c r="AO37" s="126">
        <f t="shared" si="12"/>
        <v>0</v>
      </c>
      <c r="AP37" s="126">
        <f t="shared" si="12"/>
        <v>0</v>
      </c>
      <c r="AQ37" s="126">
        <f t="shared" si="12"/>
        <v>0</v>
      </c>
      <c r="AR37" s="126">
        <f t="shared" si="12"/>
        <v>0</v>
      </c>
      <c r="AS37" s="126">
        <f t="shared" si="12"/>
        <v>0</v>
      </c>
      <c r="AT37" s="113">
        <f t="shared" si="7"/>
        <v>0</v>
      </c>
    </row>
    <row r="38" spans="1:47" x14ac:dyDescent="0.25">
      <c r="A38" s="124" t="str">
        <f t="shared" si="10"/>
        <v>x</v>
      </c>
      <c r="B38" s="90">
        <f t="shared" si="0"/>
        <v>0</v>
      </c>
      <c r="C38" s="127"/>
      <c r="D38" s="111" t="e">
        <f t="shared" si="1"/>
        <v>#DIV/0!</v>
      </c>
      <c r="E38" s="90">
        <f t="shared" si="2"/>
        <v>0</v>
      </c>
      <c r="F38" s="109">
        <f t="shared" si="3"/>
        <v>0</v>
      </c>
      <c r="G38" s="109">
        <f t="shared" si="3"/>
        <v>0</v>
      </c>
      <c r="H38" s="109">
        <f t="shared" si="3"/>
        <v>0</v>
      </c>
      <c r="I38" s="109">
        <f t="shared" si="3"/>
        <v>0</v>
      </c>
      <c r="J38" s="109">
        <f t="shared" si="3"/>
        <v>0</v>
      </c>
      <c r="K38" s="109">
        <f t="shared" si="8"/>
        <v>0</v>
      </c>
      <c r="L38" s="109">
        <f t="shared" si="9"/>
        <v>0</v>
      </c>
      <c r="M38" s="109">
        <f t="shared" si="3"/>
        <v>0</v>
      </c>
      <c r="N38" s="109">
        <f t="shared" si="3"/>
        <v>0</v>
      </c>
      <c r="O38" s="90">
        <f t="shared" si="3"/>
        <v>0</v>
      </c>
      <c r="P38" s="109">
        <f t="shared" si="3"/>
        <v>0</v>
      </c>
      <c r="Q38" s="109">
        <f t="shared" si="3"/>
        <v>0</v>
      </c>
      <c r="R38" s="109">
        <f t="shared" si="4"/>
        <v>0</v>
      </c>
      <c r="S38" s="109">
        <f t="shared" si="4"/>
        <v>0</v>
      </c>
      <c r="T38" s="109">
        <f t="shared" si="4"/>
        <v>0</v>
      </c>
      <c r="U38" s="109">
        <f t="shared" si="4"/>
        <v>0</v>
      </c>
      <c r="V38" s="109" t="e">
        <f t="shared" si="5"/>
        <v>#DIV/0!</v>
      </c>
      <c r="W38" s="109">
        <f t="shared" si="12"/>
        <v>0</v>
      </c>
      <c r="X38" s="109">
        <f t="shared" si="12"/>
        <v>0</v>
      </c>
      <c r="Y38" s="109">
        <f t="shared" si="12"/>
        <v>0</v>
      </c>
      <c r="Z38" s="109">
        <f t="shared" si="12"/>
        <v>0</v>
      </c>
      <c r="AA38" s="109">
        <f t="shared" si="12"/>
        <v>0</v>
      </c>
      <c r="AB38" s="109">
        <f t="shared" si="12"/>
        <v>0</v>
      </c>
      <c r="AC38" s="109">
        <f t="shared" si="12"/>
        <v>0</v>
      </c>
      <c r="AD38" s="109">
        <f t="shared" si="12"/>
        <v>0</v>
      </c>
      <c r="AE38" s="109">
        <f t="shared" si="12"/>
        <v>0</v>
      </c>
      <c r="AF38" s="126">
        <f t="shared" si="12"/>
        <v>0</v>
      </c>
      <c r="AG38" s="126">
        <f t="shared" si="12"/>
        <v>0</v>
      </c>
      <c r="AH38" s="126">
        <f t="shared" si="12"/>
        <v>0</v>
      </c>
      <c r="AI38" s="126">
        <f t="shared" si="12"/>
        <v>0</v>
      </c>
      <c r="AJ38" s="126">
        <f t="shared" si="12"/>
        <v>0</v>
      </c>
      <c r="AK38" s="126">
        <f t="shared" si="12"/>
        <v>0</v>
      </c>
      <c r="AL38" s="126">
        <f t="shared" si="12"/>
        <v>0</v>
      </c>
      <c r="AM38" s="126">
        <f t="shared" si="12"/>
        <v>0</v>
      </c>
      <c r="AN38" s="126">
        <f t="shared" si="12"/>
        <v>0</v>
      </c>
      <c r="AO38" s="126">
        <f t="shared" si="12"/>
        <v>0</v>
      </c>
      <c r="AP38" s="126">
        <f t="shared" si="12"/>
        <v>0</v>
      </c>
      <c r="AQ38" s="126">
        <f t="shared" si="12"/>
        <v>0</v>
      </c>
      <c r="AR38" s="126">
        <f t="shared" si="12"/>
        <v>0</v>
      </c>
      <c r="AS38" s="126">
        <f t="shared" si="12"/>
        <v>0</v>
      </c>
      <c r="AT38" s="113">
        <f t="shared" si="7"/>
        <v>0</v>
      </c>
    </row>
    <row r="39" spans="1:47" x14ac:dyDescent="0.25">
      <c r="A39" s="124" t="str">
        <f t="shared" si="10"/>
        <v>x</v>
      </c>
      <c r="B39" s="90">
        <f t="shared" si="0"/>
        <v>0</v>
      </c>
      <c r="C39" s="127"/>
      <c r="D39" s="111" t="e">
        <f t="shared" si="1"/>
        <v>#DIV/0!</v>
      </c>
      <c r="E39" s="90">
        <f t="shared" si="2"/>
        <v>0</v>
      </c>
      <c r="F39" s="109">
        <f t="shared" si="3"/>
        <v>0</v>
      </c>
      <c r="G39" s="109">
        <f t="shared" si="3"/>
        <v>0</v>
      </c>
      <c r="H39" s="109">
        <f t="shared" si="3"/>
        <v>0</v>
      </c>
      <c r="I39" s="109">
        <f t="shared" si="3"/>
        <v>0</v>
      </c>
      <c r="J39" s="109">
        <f t="shared" si="3"/>
        <v>0</v>
      </c>
      <c r="K39" s="109">
        <f t="shared" si="8"/>
        <v>0</v>
      </c>
      <c r="L39" s="109">
        <f t="shared" si="9"/>
        <v>0</v>
      </c>
      <c r="M39" s="109">
        <f t="shared" si="3"/>
        <v>0</v>
      </c>
      <c r="N39" s="109">
        <f t="shared" si="3"/>
        <v>0</v>
      </c>
      <c r="O39" s="90">
        <f t="shared" si="3"/>
        <v>0</v>
      </c>
      <c r="P39" s="109">
        <f t="shared" si="3"/>
        <v>0</v>
      </c>
      <c r="Q39" s="109">
        <f t="shared" si="3"/>
        <v>0</v>
      </c>
      <c r="R39" s="109">
        <f t="shared" si="4"/>
        <v>0</v>
      </c>
      <c r="S39" s="109">
        <f t="shared" si="4"/>
        <v>0</v>
      </c>
      <c r="T39" s="109">
        <f t="shared" si="4"/>
        <v>0</v>
      </c>
      <c r="U39" s="109">
        <f t="shared" si="4"/>
        <v>0</v>
      </c>
      <c r="V39" s="109" t="e">
        <f t="shared" si="5"/>
        <v>#DIV/0!</v>
      </c>
      <c r="W39" s="109">
        <f t="shared" si="12"/>
        <v>0</v>
      </c>
      <c r="X39" s="109">
        <f t="shared" si="12"/>
        <v>0</v>
      </c>
      <c r="Y39" s="109">
        <f t="shared" si="12"/>
        <v>0</v>
      </c>
      <c r="Z39" s="109">
        <f t="shared" si="12"/>
        <v>0</v>
      </c>
      <c r="AA39" s="109">
        <f t="shared" si="12"/>
        <v>0</v>
      </c>
      <c r="AB39" s="109">
        <f t="shared" si="12"/>
        <v>0</v>
      </c>
      <c r="AC39" s="109">
        <f t="shared" si="12"/>
        <v>0</v>
      </c>
      <c r="AD39" s="109">
        <f t="shared" si="12"/>
        <v>0</v>
      </c>
      <c r="AE39" s="109">
        <f t="shared" si="12"/>
        <v>0</v>
      </c>
      <c r="AF39" s="126">
        <f t="shared" si="12"/>
        <v>0</v>
      </c>
      <c r="AG39" s="126">
        <f t="shared" si="12"/>
        <v>0</v>
      </c>
      <c r="AH39" s="126">
        <f t="shared" si="12"/>
        <v>0</v>
      </c>
      <c r="AI39" s="126">
        <f t="shared" si="12"/>
        <v>0</v>
      </c>
      <c r="AJ39" s="126">
        <f t="shared" si="12"/>
        <v>0</v>
      </c>
      <c r="AK39" s="126">
        <f t="shared" si="12"/>
        <v>0</v>
      </c>
      <c r="AL39" s="126">
        <f t="shared" si="12"/>
        <v>0</v>
      </c>
      <c r="AM39" s="126">
        <f t="shared" si="12"/>
        <v>0</v>
      </c>
      <c r="AN39" s="126">
        <f t="shared" si="12"/>
        <v>0</v>
      </c>
      <c r="AO39" s="126">
        <f t="shared" si="12"/>
        <v>0</v>
      </c>
      <c r="AP39" s="126">
        <f t="shared" si="12"/>
        <v>0</v>
      </c>
      <c r="AQ39" s="126">
        <f t="shared" si="12"/>
        <v>0</v>
      </c>
      <c r="AR39" s="126">
        <f t="shared" si="12"/>
        <v>0</v>
      </c>
      <c r="AS39" s="126">
        <f t="shared" si="12"/>
        <v>0</v>
      </c>
      <c r="AT39" s="113">
        <f t="shared" si="7"/>
        <v>0</v>
      </c>
    </row>
    <row r="40" spans="1:47" ht="17.25" thickBot="1" x14ac:dyDescent="0.3">
      <c r="A40" s="129" t="str">
        <f t="shared" si="10"/>
        <v>x</v>
      </c>
      <c r="B40" s="121">
        <f t="shared" si="0"/>
        <v>0</v>
      </c>
      <c r="C40" s="130"/>
      <c r="D40" s="120" t="e">
        <f t="shared" si="1"/>
        <v>#DIV/0!</v>
      </c>
      <c r="E40" s="121">
        <f t="shared" si="2"/>
        <v>0</v>
      </c>
      <c r="F40" s="117">
        <f t="shared" si="3"/>
        <v>0</v>
      </c>
      <c r="G40" s="117">
        <f t="shared" si="3"/>
        <v>0</v>
      </c>
      <c r="H40" s="117">
        <f t="shared" si="3"/>
        <v>0</v>
      </c>
      <c r="I40" s="117">
        <f t="shared" si="3"/>
        <v>0</v>
      </c>
      <c r="J40" s="117">
        <f t="shared" si="3"/>
        <v>0</v>
      </c>
      <c r="K40" s="117">
        <f t="shared" si="8"/>
        <v>0</v>
      </c>
      <c r="L40" s="117">
        <f t="shared" si="9"/>
        <v>0</v>
      </c>
      <c r="M40" s="117">
        <f t="shared" si="3"/>
        <v>0</v>
      </c>
      <c r="N40" s="117">
        <f t="shared" si="3"/>
        <v>0</v>
      </c>
      <c r="O40" s="121">
        <f t="shared" si="3"/>
        <v>0</v>
      </c>
      <c r="P40" s="117">
        <f t="shared" si="3"/>
        <v>0</v>
      </c>
      <c r="Q40" s="117">
        <f t="shared" si="3"/>
        <v>0</v>
      </c>
      <c r="R40" s="117">
        <f t="shared" si="4"/>
        <v>0</v>
      </c>
      <c r="S40" s="117">
        <f t="shared" si="4"/>
        <v>0</v>
      </c>
      <c r="T40" s="117">
        <f t="shared" si="4"/>
        <v>0</v>
      </c>
      <c r="U40" s="117">
        <f t="shared" si="4"/>
        <v>0</v>
      </c>
      <c r="V40" s="117" t="e">
        <f t="shared" si="5"/>
        <v>#DIV/0!</v>
      </c>
      <c r="W40" s="117">
        <f t="shared" si="12"/>
        <v>0</v>
      </c>
      <c r="X40" s="117">
        <f t="shared" si="12"/>
        <v>0</v>
      </c>
      <c r="Y40" s="117">
        <f t="shared" si="12"/>
        <v>0</v>
      </c>
      <c r="Z40" s="117">
        <f t="shared" si="12"/>
        <v>0</v>
      </c>
      <c r="AA40" s="117">
        <f t="shared" si="12"/>
        <v>0</v>
      </c>
      <c r="AB40" s="117">
        <f t="shared" si="12"/>
        <v>0</v>
      </c>
      <c r="AC40" s="117">
        <f t="shared" si="12"/>
        <v>0</v>
      </c>
      <c r="AD40" s="117">
        <f t="shared" si="12"/>
        <v>0</v>
      </c>
      <c r="AE40" s="117">
        <f t="shared" si="12"/>
        <v>0</v>
      </c>
      <c r="AF40" s="131">
        <f t="shared" si="12"/>
        <v>0</v>
      </c>
      <c r="AG40" s="131">
        <f t="shared" si="12"/>
        <v>0</v>
      </c>
      <c r="AH40" s="131">
        <f t="shared" si="12"/>
        <v>0</v>
      </c>
      <c r="AI40" s="131">
        <f t="shared" si="12"/>
        <v>0</v>
      </c>
      <c r="AJ40" s="131">
        <f t="shared" si="12"/>
        <v>0</v>
      </c>
      <c r="AK40" s="131">
        <f t="shared" si="12"/>
        <v>0</v>
      </c>
      <c r="AL40" s="131">
        <f t="shared" si="12"/>
        <v>0</v>
      </c>
      <c r="AM40" s="131">
        <f t="shared" si="12"/>
        <v>0</v>
      </c>
      <c r="AN40" s="131">
        <f t="shared" si="12"/>
        <v>0</v>
      </c>
      <c r="AO40" s="131">
        <f t="shared" si="12"/>
        <v>0</v>
      </c>
      <c r="AP40" s="131">
        <f t="shared" si="12"/>
        <v>0</v>
      </c>
      <c r="AQ40" s="131">
        <f t="shared" si="12"/>
        <v>0</v>
      </c>
      <c r="AR40" s="131">
        <f t="shared" si="12"/>
        <v>0</v>
      </c>
      <c r="AS40" s="131">
        <f t="shared" si="12"/>
        <v>0</v>
      </c>
      <c r="AT40" s="113">
        <f t="shared" si="7"/>
        <v>0</v>
      </c>
    </row>
    <row r="41" spans="1:47" ht="17.25" thickTop="1" x14ac:dyDescent="0.25">
      <c r="B41" s="109"/>
      <c r="D41" s="111"/>
      <c r="E41" s="82"/>
      <c r="AF41" s="77"/>
      <c r="AG41" s="77"/>
      <c r="AH41" s="77"/>
      <c r="AI41" s="77"/>
    </row>
    <row r="42" spans="1:47" ht="17.25" thickBot="1" x14ac:dyDescent="0.3">
      <c r="A42" s="89" t="s">
        <v>32</v>
      </c>
      <c r="B42" s="77"/>
      <c r="C42" s="113">
        <f t="shared" ref="C42:AS42" si="13">SUM(C25:C40)</f>
        <v>0</v>
      </c>
      <c r="D42" s="111" t="e">
        <f>SUM(D25:D40)</f>
        <v>#DIV/0!</v>
      </c>
      <c r="E42" s="132" t="e">
        <f>E43/C42</f>
        <v>#DIV/0!</v>
      </c>
      <c r="F42" s="90">
        <f>SUM(F25:F40)</f>
        <v>0</v>
      </c>
      <c r="G42" s="90">
        <f>SUM(G25:G40)</f>
        <v>0</v>
      </c>
      <c r="H42" s="90">
        <f t="shared" si="13"/>
        <v>0</v>
      </c>
      <c r="I42" s="113">
        <f>SUM(I25:I40)</f>
        <v>0</v>
      </c>
      <c r="J42" s="113">
        <f t="shared" si="13"/>
        <v>0</v>
      </c>
      <c r="K42" s="113">
        <f t="shared" si="13"/>
        <v>0</v>
      </c>
      <c r="L42" s="113">
        <f t="shared" si="13"/>
        <v>0</v>
      </c>
      <c r="M42" s="113">
        <f t="shared" si="13"/>
        <v>0</v>
      </c>
      <c r="N42" s="113">
        <f t="shared" si="13"/>
        <v>0</v>
      </c>
      <c r="O42" s="113">
        <f>SUM(O25:O40)</f>
        <v>0</v>
      </c>
      <c r="P42" s="113">
        <f t="shared" si="13"/>
        <v>0</v>
      </c>
      <c r="Q42" s="113">
        <f t="shared" si="13"/>
        <v>0</v>
      </c>
      <c r="R42" s="109">
        <f t="shared" si="13"/>
        <v>0</v>
      </c>
      <c r="S42" s="113">
        <f t="shared" si="13"/>
        <v>0</v>
      </c>
      <c r="T42" s="113">
        <f t="shared" si="13"/>
        <v>0</v>
      </c>
      <c r="U42" s="113">
        <f t="shared" si="13"/>
        <v>0</v>
      </c>
      <c r="V42" s="113" t="e">
        <f t="shared" si="13"/>
        <v>#DIV/0!</v>
      </c>
      <c r="W42" s="109">
        <f t="shared" si="13"/>
        <v>0</v>
      </c>
      <c r="X42" s="109">
        <f t="shared" si="13"/>
        <v>0</v>
      </c>
      <c r="Y42" s="109">
        <f t="shared" si="13"/>
        <v>0</v>
      </c>
      <c r="Z42" s="109">
        <f t="shared" si="13"/>
        <v>0</v>
      </c>
      <c r="AA42" s="109">
        <f t="shared" si="13"/>
        <v>0</v>
      </c>
      <c r="AB42" s="109">
        <f t="shared" si="13"/>
        <v>0</v>
      </c>
      <c r="AC42" s="109">
        <f t="shared" si="13"/>
        <v>0</v>
      </c>
      <c r="AD42" s="109">
        <f t="shared" si="13"/>
        <v>0</v>
      </c>
      <c r="AE42" s="109">
        <f t="shared" si="13"/>
        <v>0</v>
      </c>
      <c r="AF42" s="113">
        <f t="shared" si="13"/>
        <v>0</v>
      </c>
      <c r="AG42" s="113">
        <f t="shared" si="13"/>
        <v>0</v>
      </c>
      <c r="AH42" s="113">
        <f>SUM(AH25:AH40)</f>
        <v>0</v>
      </c>
      <c r="AI42" s="113">
        <f>SUM(AI25:AI40)</f>
        <v>0</v>
      </c>
      <c r="AJ42" s="113">
        <f>SUM(AJ25:AJ40)</f>
        <v>0</v>
      </c>
      <c r="AK42" s="113">
        <f>SUM(AK25:AK40)</f>
        <v>0</v>
      </c>
      <c r="AL42" s="113">
        <f t="shared" si="13"/>
        <v>0</v>
      </c>
      <c r="AM42" s="115">
        <f>SUM(AM25:AM40)</f>
        <v>0</v>
      </c>
      <c r="AN42" s="115">
        <f t="shared" si="13"/>
        <v>0</v>
      </c>
      <c r="AO42" s="115">
        <f t="shared" si="13"/>
        <v>0</v>
      </c>
      <c r="AP42" s="113">
        <f t="shared" si="13"/>
        <v>0</v>
      </c>
      <c r="AQ42" s="113">
        <f t="shared" si="13"/>
        <v>0</v>
      </c>
      <c r="AR42" s="113">
        <f t="shared" si="13"/>
        <v>0</v>
      </c>
      <c r="AS42" s="113">
        <f t="shared" si="13"/>
        <v>0</v>
      </c>
    </row>
    <row r="43" spans="1:47" ht="18" thickTop="1" thickBot="1" x14ac:dyDescent="0.3">
      <c r="A43" s="133" t="s">
        <v>71</v>
      </c>
      <c r="B43" s="134"/>
      <c r="C43" s="135"/>
      <c r="D43" s="136"/>
      <c r="E43" s="137">
        <f>SUM(E25:E40)</f>
        <v>0</v>
      </c>
      <c r="F43" s="138" t="e">
        <f>F42/$E43</f>
        <v>#DIV/0!</v>
      </c>
      <c r="G43" s="138" t="e">
        <f>G42/$E43</f>
        <v>#DIV/0!</v>
      </c>
      <c r="H43" s="138" t="e">
        <f t="shared" ref="H43:AS43" si="14">H42/$E43</f>
        <v>#DIV/0!</v>
      </c>
      <c r="I43" s="139" t="e">
        <f t="shared" si="14"/>
        <v>#DIV/0!</v>
      </c>
      <c r="J43" s="139" t="e">
        <f t="shared" si="14"/>
        <v>#DIV/0!</v>
      </c>
      <c r="K43" s="139" t="e">
        <f t="shared" si="14"/>
        <v>#DIV/0!</v>
      </c>
      <c r="L43" s="139" t="e">
        <f t="shared" si="14"/>
        <v>#DIV/0!</v>
      </c>
      <c r="M43" s="139" t="e">
        <f t="shared" si="14"/>
        <v>#DIV/0!</v>
      </c>
      <c r="N43" s="139" t="e">
        <f t="shared" si="14"/>
        <v>#DIV/0!</v>
      </c>
      <c r="O43" s="140" t="e">
        <f t="shared" si="14"/>
        <v>#DIV/0!</v>
      </c>
      <c r="P43" s="139" t="e">
        <f t="shared" si="14"/>
        <v>#DIV/0!</v>
      </c>
      <c r="Q43" s="139" t="e">
        <f t="shared" si="14"/>
        <v>#DIV/0!</v>
      </c>
      <c r="R43" s="139" t="e">
        <f t="shared" si="14"/>
        <v>#DIV/0!</v>
      </c>
      <c r="S43" s="139" t="e">
        <f t="shared" si="14"/>
        <v>#DIV/0!</v>
      </c>
      <c r="T43" s="139" t="e">
        <f t="shared" si="14"/>
        <v>#DIV/0!</v>
      </c>
      <c r="U43" s="139" t="e">
        <f t="shared" si="14"/>
        <v>#DIV/0!</v>
      </c>
      <c r="V43" s="139" t="e">
        <f t="shared" si="14"/>
        <v>#DIV/0!</v>
      </c>
      <c r="W43" s="138" t="e">
        <f t="shared" si="14"/>
        <v>#DIV/0!</v>
      </c>
      <c r="X43" s="138" t="e">
        <f t="shared" si="14"/>
        <v>#DIV/0!</v>
      </c>
      <c r="Y43" s="138" t="e">
        <f t="shared" si="14"/>
        <v>#DIV/0!</v>
      </c>
      <c r="Z43" s="138" t="e">
        <f t="shared" si="14"/>
        <v>#DIV/0!</v>
      </c>
      <c r="AA43" s="138" t="e">
        <f t="shared" si="14"/>
        <v>#DIV/0!</v>
      </c>
      <c r="AB43" s="138" t="e">
        <f t="shared" si="14"/>
        <v>#DIV/0!</v>
      </c>
      <c r="AC43" s="138" t="e">
        <f t="shared" si="14"/>
        <v>#DIV/0!</v>
      </c>
      <c r="AD43" s="138" t="e">
        <f t="shared" si="14"/>
        <v>#DIV/0!</v>
      </c>
      <c r="AE43" s="138" t="e">
        <f t="shared" si="14"/>
        <v>#DIV/0!</v>
      </c>
      <c r="AF43" s="140" t="e">
        <f t="shared" si="14"/>
        <v>#DIV/0!</v>
      </c>
      <c r="AG43" s="137" t="e">
        <f t="shared" si="14"/>
        <v>#DIV/0!</v>
      </c>
      <c r="AH43" s="137" t="e">
        <f t="shared" si="14"/>
        <v>#DIV/0!</v>
      </c>
      <c r="AI43" s="137" t="e">
        <f t="shared" si="14"/>
        <v>#DIV/0!</v>
      </c>
      <c r="AJ43" s="140" t="e">
        <f t="shared" si="14"/>
        <v>#DIV/0!</v>
      </c>
      <c r="AK43" s="140" t="e">
        <f t="shared" si="14"/>
        <v>#DIV/0!</v>
      </c>
      <c r="AL43" s="137" t="e">
        <f t="shared" si="14"/>
        <v>#DIV/0!</v>
      </c>
      <c r="AM43" s="137" t="e">
        <f t="shared" si="14"/>
        <v>#DIV/0!</v>
      </c>
      <c r="AN43" s="137" t="e">
        <f t="shared" si="14"/>
        <v>#DIV/0!</v>
      </c>
      <c r="AO43" s="137" t="e">
        <f t="shared" si="14"/>
        <v>#DIV/0!</v>
      </c>
      <c r="AP43" s="141">
        <f>AP42</f>
        <v>0</v>
      </c>
      <c r="AQ43" s="141">
        <f>AQ42</f>
        <v>0</v>
      </c>
      <c r="AR43" s="141" t="e">
        <f t="shared" si="14"/>
        <v>#DIV/0!</v>
      </c>
      <c r="AS43" s="216" t="e">
        <f t="shared" si="14"/>
        <v>#DIV/0!</v>
      </c>
    </row>
    <row r="44" spans="1:47" s="87" customFormat="1" ht="18" thickTop="1" thickBot="1" x14ac:dyDescent="0.3">
      <c r="A44" s="142"/>
      <c r="B44" s="109"/>
      <c r="C44" s="77"/>
      <c r="D44" s="77"/>
      <c r="E44" s="143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  <c r="AA44" s="143"/>
      <c r="AB44" s="143"/>
      <c r="AC44" s="143"/>
      <c r="AD44" s="143"/>
      <c r="AE44" s="143"/>
      <c r="AF44" s="143"/>
      <c r="AG44" s="143"/>
      <c r="AH44" s="143"/>
      <c r="AI44" s="143"/>
      <c r="AJ44" s="143"/>
      <c r="AK44" s="143"/>
      <c r="AL44" s="143"/>
      <c r="AM44" s="144"/>
      <c r="AN44" s="144"/>
      <c r="AO44" s="144"/>
      <c r="AP44" s="143"/>
      <c r="AQ44" s="143"/>
      <c r="AR44" s="143"/>
      <c r="AS44" s="143"/>
    </row>
    <row r="45" spans="1:47" s="153" customFormat="1" ht="18" thickTop="1" thickBot="1" x14ac:dyDescent="0.3">
      <c r="A45" s="145" t="s">
        <v>299</v>
      </c>
      <c r="B45" s="146"/>
      <c r="C45" s="147"/>
      <c r="D45" s="147"/>
      <c r="E45" s="148" t="e">
        <f>0.022*F2*(1-EXP(-1.54*(F1/F2)))</f>
        <v>#DIV/0!</v>
      </c>
      <c r="F45" s="149" t="s">
        <v>210</v>
      </c>
      <c r="G45" s="150">
        <v>0.1</v>
      </c>
      <c r="H45" s="149" t="s">
        <v>214</v>
      </c>
      <c r="I45" s="149"/>
      <c r="J45" s="149" t="s">
        <v>283</v>
      </c>
      <c r="K45" s="149"/>
      <c r="L45" s="149"/>
      <c r="M45" s="149" t="s">
        <v>242</v>
      </c>
      <c r="N45" s="149"/>
      <c r="O45" s="149"/>
      <c r="P45" s="149" t="s">
        <v>209</v>
      </c>
      <c r="Q45" s="149" t="s">
        <v>191</v>
      </c>
      <c r="R45" s="149"/>
      <c r="S45" s="149"/>
      <c r="T45" s="149"/>
      <c r="U45" s="149"/>
      <c r="V45" s="149"/>
      <c r="W45" s="150"/>
      <c r="X45" s="150"/>
      <c r="Y45" s="150">
        <v>4.0000000000000001E-3</v>
      </c>
      <c r="Z45" s="150" t="s">
        <v>290</v>
      </c>
      <c r="AA45" s="150">
        <v>1E-3</v>
      </c>
      <c r="AB45" s="150">
        <v>5.0000000000000001E-3</v>
      </c>
      <c r="AC45" s="150">
        <v>2E-3</v>
      </c>
      <c r="AD45" s="150">
        <v>1.6000000000000001E-3</v>
      </c>
      <c r="AE45" s="150">
        <v>1.2999999999999999E-3</v>
      </c>
      <c r="AF45" s="151">
        <v>0.2</v>
      </c>
      <c r="AG45" s="148">
        <v>15</v>
      </c>
      <c r="AH45" s="148" t="s">
        <v>70</v>
      </c>
      <c r="AI45" s="148" t="s">
        <v>70</v>
      </c>
      <c r="AJ45" s="151">
        <v>0.3</v>
      </c>
      <c r="AK45" s="151">
        <v>0.5</v>
      </c>
      <c r="AL45" s="148">
        <v>30</v>
      </c>
      <c r="AM45" s="152">
        <v>4000</v>
      </c>
      <c r="AN45" s="152">
        <v>1200</v>
      </c>
      <c r="AO45" s="152" t="s">
        <v>295</v>
      </c>
      <c r="AP45" s="148"/>
      <c r="AQ45" s="152">
        <f>0.5*F1</f>
        <v>0</v>
      </c>
      <c r="AR45" s="148"/>
      <c r="AS45" s="148"/>
    </row>
    <row r="46" spans="1:47" ht="17.25" thickTop="1" x14ac:dyDescent="0.25">
      <c r="A46" s="98"/>
      <c r="B46" s="154"/>
      <c r="C46" s="77"/>
      <c r="D46" s="77"/>
      <c r="E46" s="155"/>
      <c r="F46" s="154"/>
      <c r="H46" s="95"/>
      <c r="I46" s="77"/>
      <c r="J46" s="85"/>
      <c r="K46" s="85"/>
      <c r="L46" s="85"/>
      <c r="M46" s="85"/>
      <c r="N46" s="156"/>
      <c r="O46" s="157"/>
      <c r="P46" s="158"/>
      <c r="Q46" s="85"/>
      <c r="T46" s="82"/>
      <c r="U46" s="85"/>
      <c r="V46" s="82"/>
      <c r="W46" s="159"/>
      <c r="X46" s="77"/>
      <c r="Y46" s="85"/>
      <c r="Z46" s="85"/>
      <c r="AA46" s="95"/>
      <c r="AB46" s="85"/>
      <c r="AC46" s="85"/>
      <c r="AD46" s="85"/>
      <c r="AE46" s="85"/>
      <c r="AF46" s="85"/>
      <c r="AG46" s="85"/>
      <c r="AH46" s="85"/>
      <c r="AI46" s="85"/>
      <c r="AJ46" s="95"/>
      <c r="AK46" s="95"/>
      <c r="AL46" s="85"/>
      <c r="AM46" s="85"/>
      <c r="AN46" s="85"/>
      <c r="AO46" s="85"/>
      <c r="AP46" s="85"/>
      <c r="AQ46" s="160"/>
      <c r="AR46" s="85"/>
      <c r="AS46" s="85"/>
      <c r="AU46" s="98"/>
    </row>
    <row r="47" spans="1:47" x14ac:dyDescent="0.25">
      <c r="H47" s="75" t="s">
        <v>174</v>
      </c>
      <c r="I47" s="161" t="e">
        <f>M42/F1</f>
        <v>#DIV/0!</v>
      </c>
      <c r="J47" s="85" t="s">
        <v>244</v>
      </c>
      <c r="K47" s="77"/>
      <c r="L47" s="77"/>
      <c r="M47" s="77"/>
      <c r="Q47" s="162"/>
      <c r="S47" s="85"/>
      <c r="T47" s="77"/>
      <c r="U47" s="77"/>
      <c r="V47" s="77"/>
      <c r="W47" s="85"/>
      <c r="X47" s="77"/>
      <c r="Y47" s="77"/>
      <c r="Z47" s="85"/>
      <c r="AA47" s="85"/>
      <c r="AB47" s="85"/>
      <c r="AC47" s="85"/>
      <c r="AD47" s="85"/>
      <c r="AE47" s="85"/>
      <c r="AF47" s="98"/>
      <c r="AG47" s="98"/>
      <c r="AH47" s="98"/>
      <c r="AI47" s="98"/>
      <c r="AJ47" s="98"/>
      <c r="AK47" s="98"/>
      <c r="AL47" s="98"/>
      <c r="AM47" s="98"/>
      <c r="AN47" s="98"/>
      <c r="AO47" s="98"/>
      <c r="AR47" s="98"/>
      <c r="AS47" s="98"/>
      <c r="AU47" s="98"/>
    </row>
    <row r="48" spans="1:47" hidden="1" x14ac:dyDescent="0.25">
      <c r="H48" s="85" t="s">
        <v>52</v>
      </c>
      <c r="I48" s="159" t="e">
        <f>Y42/Z42</f>
        <v>#DIV/0!</v>
      </c>
      <c r="J48" s="163" t="s">
        <v>105</v>
      </c>
      <c r="K48" s="77"/>
      <c r="L48" s="77"/>
      <c r="M48" s="77"/>
      <c r="Q48" s="162"/>
      <c r="T48" s="77"/>
      <c r="U48" s="77"/>
      <c r="V48" s="77"/>
      <c r="W48" s="85"/>
      <c r="X48" s="77"/>
      <c r="Y48" s="77"/>
      <c r="AA48" s="164"/>
      <c r="AB48" s="85"/>
      <c r="AC48" s="85"/>
      <c r="AE48" s="85"/>
      <c r="AF48" s="98"/>
      <c r="AG48" s="98"/>
      <c r="AH48" s="98"/>
      <c r="AI48" s="98"/>
      <c r="AJ48" s="98"/>
      <c r="AK48" s="98"/>
      <c r="AL48" s="98"/>
      <c r="AM48" s="98"/>
      <c r="AN48" s="98"/>
      <c r="AO48" s="98"/>
      <c r="AR48" s="98"/>
      <c r="AS48" s="98"/>
      <c r="AT48" s="98"/>
      <c r="AU48" s="98"/>
    </row>
    <row r="49" spans="8:47" hidden="1" x14ac:dyDescent="0.25">
      <c r="H49" s="75" t="s">
        <v>197</v>
      </c>
      <c r="I49" s="161" t="e">
        <f>(SUMIF(AT$25:AT$40,"F",E$25:E$40)+SUMIF(AT$25:AT$40,"S",E$25:E$40))/E$43</f>
        <v>#DIV/0!</v>
      </c>
      <c r="J49" s="85" t="s">
        <v>262</v>
      </c>
      <c r="M49" s="77"/>
      <c r="Q49" s="162"/>
      <c r="X49" s="85"/>
      <c r="Y49" s="77"/>
      <c r="AA49" s="165"/>
      <c r="AE49" s="85"/>
      <c r="AF49" s="85"/>
      <c r="AG49" s="85"/>
      <c r="AH49" s="85"/>
      <c r="AT49" s="98"/>
      <c r="AU49" s="98"/>
    </row>
    <row r="50" spans="8:47" ht="13.5" hidden="1" customHeight="1" x14ac:dyDescent="0.25">
      <c r="H50" s="166" t="s">
        <v>239</v>
      </c>
      <c r="I50" s="161" t="e">
        <f>(2.365+(0.214*((SUMIF(AT25:AT40,"F",E25:E40)+SUMIF(AT25:AT40,"S",E25:E40))/F1*100))+(0.734*(SUMIF(AT25:AT40,"C",E25:E40)/F1*100)+(0.069*(SUMIF(AT25:AT40,"S",E25:E40)+SUMIF(AT25:AT40,"F",E25:E40)))))/100</f>
        <v>#DIV/0!</v>
      </c>
      <c r="M50" s="85"/>
      <c r="Q50" s="77"/>
      <c r="X50" s="77"/>
      <c r="Y50" s="77"/>
      <c r="AA50" s="85"/>
      <c r="AE50" s="85"/>
      <c r="AF50" s="85"/>
      <c r="AG50" s="85"/>
      <c r="AH50" s="85"/>
    </row>
    <row r="51" spans="8:47" hidden="1" x14ac:dyDescent="0.25">
      <c r="H51" s="75" t="s">
        <v>240</v>
      </c>
      <c r="I51" s="161" t="e">
        <f>(1.169+(1.375*(SUMIF(AT25:AT40,"F",E25:E40)+SUMIF(AT25:AT40,"S",E25:E40))/F1*100)+(1.721*SUMIF(AT25:AT40,"C",E25:E40)/F1*100))/100</f>
        <v>#DIV/0!</v>
      </c>
      <c r="M51" s="77"/>
      <c r="Q51" s="77"/>
      <c r="X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</row>
    <row r="52" spans="8:47" ht="13.5" hidden="1" customHeight="1" x14ac:dyDescent="0.25">
      <c r="H52" s="167" t="s">
        <v>241</v>
      </c>
      <c r="I52" s="161" t="e">
        <f>(4.524+(0.223*(SUMIF(AT25:AT40,"F",E25:E40)+SUMIF(AT25:AT40,"S",E25:E40))/F1*100)+(2.046*SUMIF(AT25:AT40,"C",E25:E40)/F1*100)+(0.344*(SUMIF(AT25:AT40,"F",E25:E40)+SUMIF(AT25:AT40,"S",E25:E40))))/100</f>
        <v>#DIV/0!</v>
      </c>
      <c r="Q52" s="77"/>
      <c r="Z52" s="85"/>
      <c r="AA52" s="85"/>
      <c r="AE52" s="85"/>
      <c r="AF52" s="85"/>
      <c r="AG52" s="85"/>
      <c r="AH52" s="85"/>
      <c r="AI52" s="85"/>
    </row>
    <row r="53" spans="8:47" ht="13.5" hidden="1" customHeight="1" x14ac:dyDescent="0.25">
      <c r="Q53" s="164"/>
    </row>
    <row r="54" spans="8:47" x14ac:dyDescent="0.25">
      <c r="I54" s="124"/>
      <c r="J54" s="124"/>
      <c r="K54" s="124"/>
      <c r="L54" s="124"/>
      <c r="M54" s="124"/>
      <c r="P54" s="124"/>
      <c r="Q54" s="124"/>
      <c r="R54" s="124"/>
      <c r="V54" s="124"/>
    </row>
    <row r="55" spans="8:47" x14ac:dyDescent="0.25">
      <c r="I55" s="168"/>
      <c r="J55" s="168"/>
      <c r="K55" s="168"/>
      <c r="L55" s="168"/>
      <c r="M55" s="168"/>
      <c r="P55" s="168"/>
      <c r="Q55" s="168"/>
      <c r="R55" s="168"/>
      <c r="V55" s="168"/>
    </row>
    <row r="56" spans="8:47" x14ac:dyDescent="0.25">
      <c r="I56" s="168"/>
      <c r="K56" s="124"/>
      <c r="L56" s="124"/>
      <c r="M56" s="124"/>
      <c r="P56" s="124"/>
      <c r="Q56" s="124"/>
      <c r="R56" s="124"/>
      <c r="V56" s="124"/>
    </row>
    <row r="57" spans="8:47" x14ac:dyDescent="0.25">
      <c r="I57" s="168"/>
      <c r="J57" s="169"/>
      <c r="K57" s="124"/>
      <c r="L57" s="124"/>
      <c r="M57" s="124"/>
      <c r="P57" s="124"/>
      <c r="R57" s="124"/>
      <c r="V57" s="124"/>
    </row>
    <row r="58" spans="8:47" x14ac:dyDescent="0.25">
      <c r="I58" s="168"/>
      <c r="J58" s="169"/>
      <c r="K58" s="124"/>
      <c r="L58" s="124"/>
      <c r="M58" s="124"/>
      <c r="P58" s="124"/>
      <c r="R58" s="124"/>
      <c r="V58" s="124"/>
    </row>
    <row r="59" spans="8:47" x14ac:dyDescent="0.25">
      <c r="I59" s="168"/>
      <c r="J59" s="169"/>
      <c r="K59" s="124"/>
      <c r="L59" s="124"/>
      <c r="M59" s="124"/>
      <c r="P59" s="124"/>
      <c r="R59" s="124"/>
      <c r="V59" s="124"/>
    </row>
    <row r="60" spans="8:47" x14ac:dyDescent="0.25">
      <c r="I60" s="168"/>
      <c r="J60" s="169"/>
      <c r="K60" s="124"/>
      <c r="L60" s="124"/>
      <c r="M60" s="124"/>
      <c r="P60" s="124"/>
      <c r="R60" s="124"/>
      <c r="V60" s="124"/>
    </row>
    <row r="61" spans="8:47" x14ac:dyDescent="0.25">
      <c r="I61" s="168"/>
      <c r="J61" s="169"/>
      <c r="K61" s="124"/>
      <c r="L61" s="124"/>
      <c r="M61" s="124"/>
      <c r="P61" s="124"/>
      <c r="R61" s="124"/>
      <c r="V61" s="124"/>
    </row>
    <row r="62" spans="8:47" x14ac:dyDescent="0.25">
      <c r="I62" s="170"/>
      <c r="J62" s="169"/>
      <c r="K62" s="170"/>
      <c r="L62" s="170"/>
      <c r="M62" s="170"/>
      <c r="P62" s="170"/>
      <c r="R62" s="124"/>
      <c r="V62" s="170"/>
    </row>
    <row r="63" spans="8:47" x14ac:dyDescent="0.25">
      <c r="I63" s="170"/>
      <c r="J63" s="169"/>
      <c r="K63" s="170"/>
      <c r="L63" s="170"/>
      <c r="M63" s="170"/>
      <c r="P63" s="170"/>
      <c r="R63" s="124"/>
      <c r="U63" s="170"/>
      <c r="V63" s="170"/>
    </row>
    <row r="64" spans="8:47" x14ac:dyDescent="0.25">
      <c r="I64" s="170"/>
      <c r="J64" s="169"/>
      <c r="K64" s="170"/>
      <c r="L64" s="170"/>
      <c r="M64" s="170"/>
      <c r="P64" s="170"/>
      <c r="R64" s="124"/>
      <c r="U64" s="170"/>
      <c r="V64" s="170"/>
    </row>
    <row r="65" spans="1:47" x14ac:dyDescent="0.25">
      <c r="I65" s="170"/>
      <c r="J65" s="169"/>
      <c r="K65" s="170"/>
      <c r="L65" s="170"/>
      <c r="M65" s="170"/>
      <c r="P65" s="170"/>
      <c r="Q65" s="170"/>
      <c r="R65" s="124"/>
      <c r="S65" s="170"/>
      <c r="T65" s="170"/>
      <c r="U65" s="170"/>
      <c r="V65" s="170"/>
    </row>
    <row r="66" spans="1:47" x14ac:dyDescent="0.25">
      <c r="I66" s="170"/>
      <c r="J66" s="169"/>
      <c r="K66" s="170"/>
      <c r="L66" s="170"/>
      <c r="M66" s="170"/>
      <c r="P66" s="170"/>
      <c r="Q66" s="170"/>
      <c r="R66" s="124"/>
      <c r="S66" s="170"/>
      <c r="T66" s="170"/>
      <c r="U66" s="170"/>
      <c r="V66" s="170"/>
    </row>
    <row r="67" spans="1:47" s="87" customFormat="1" x14ac:dyDescent="0.25">
      <c r="A67" s="77"/>
      <c r="E67" s="113"/>
      <c r="G67" s="113"/>
      <c r="H67" s="90"/>
      <c r="I67" s="170"/>
      <c r="J67" s="171"/>
      <c r="K67" s="170"/>
      <c r="L67" s="170"/>
      <c r="M67" s="170"/>
      <c r="P67" s="170"/>
      <c r="Q67" s="170"/>
      <c r="R67" s="124"/>
      <c r="S67" s="170"/>
      <c r="T67" s="170"/>
      <c r="U67" s="170"/>
      <c r="V67" s="170"/>
      <c r="AJ67" s="77"/>
      <c r="AK67" s="77"/>
      <c r="AL67" s="77"/>
      <c r="AM67" s="77"/>
      <c r="AN67" s="77"/>
      <c r="AO67" s="77"/>
      <c r="AP67" s="77"/>
      <c r="AQ67" s="77"/>
      <c r="AR67" s="77"/>
      <c r="AS67" s="77"/>
      <c r="AT67" s="77"/>
      <c r="AU67" s="77"/>
    </row>
    <row r="68" spans="1:47" s="87" customFormat="1" x14ac:dyDescent="0.25">
      <c r="A68" s="77"/>
      <c r="E68" s="113"/>
      <c r="G68" s="113"/>
      <c r="H68" s="90"/>
      <c r="I68" s="170"/>
      <c r="J68" s="172"/>
      <c r="K68" s="170"/>
      <c r="L68" s="170"/>
      <c r="M68" s="170"/>
      <c r="P68" s="170"/>
      <c r="Q68" s="170"/>
      <c r="R68" s="170"/>
      <c r="S68" s="170"/>
      <c r="T68" s="170"/>
      <c r="U68" s="170"/>
      <c r="V68" s="170"/>
      <c r="AJ68" s="77"/>
      <c r="AK68" s="77"/>
      <c r="AL68" s="77"/>
      <c r="AM68" s="77"/>
      <c r="AN68" s="77"/>
      <c r="AO68" s="77"/>
      <c r="AP68" s="77"/>
      <c r="AQ68" s="77"/>
      <c r="AR68" s="77"/>
      <c r="AS68" s="77"/>
      <c r="AT68" s="77"/>
      <c r="AU68" s="77"/>
    </row>
    <row r="69" spans="1:47" s="87" customFormat="1" x14ac:dyDescent="0.25">
      <c r="E69" s="113"/>
      <c r="G69" s="113"/>
      <c r="H69" s="90"/>
      <c r="I69" s="170"/>
      <c r="J69" s="170"/>
      <c r="K69" s="170"/>
      <c r="L69" s="170"/>
      <c r="M69" s="170"/>
      <c r="P69" s="170"/>
      <c r="Q69" s="170"/>
      <c r="R69" s="170"/>
      <c r="S69" s="170"/>
      <c r="T69" s="170"/>
      <c r="U69" s="170"/>
      <c r="V69" s="170"/>
      <c r="AJ69" s="77"/>
      <c r="AK69" s="77"/>
      <c r="AL69" s="77"/>
      <c r="AM69" s="77"/>
      <c r="AN69" s="77"/>
      <c r="AO69" s="77"/>
      <c r="AP69" s="77"/>
      <c r="AQ69" s="77"/>
      <c r="AR69" s="77"/>
      <c r="AS69" s="77"/>
      <c r="AT69" s="77"/>
      <c r="AU69" s="77"/>
    </row>
    <row r="70" spans="1:47" s="87" customFormat="1" x14ac:dyDescent="0.25">
      <c r="E70" s="113"/>
      <c r="G70" s="113"/>
      <c r="H70" s="90"/>
      <c r="I70" s="170"/>
      <c r="J70" s="170"/>
      <c r="K70" s="170"/>
      <c r="L70" s="170"/>
      <c r="M70" s="170"/>
      <c r="P70" s="170"/>
      <c r="Q70" s="170"/>
      <c r="R70" s="170"/>
      <c r="S70" s="170"/>
      <c r="T70" s="170"/>
      <c r="U70" s="170"/>
      <c r="V70" s="170"/>
      <c r="AJ70" s="77"/>
      <c r="AK70" s="77"/>
      <c r="AL70" s="77"/>
      <c r="AM70" s="77"/>
      <c r="AN70" s="77"/>
      <c r="AO70" s="77"/>
      <c r="AP70" s="77"/>
      <c r="AQ70" s="77"/>
      <c r="AR70" s="77"/>
      <c r="AS70" s="77"/>
      <c r="AT70" s="77"/>
      <c r="AU70" s="77"/>
    </row>
    <row r="71" spans="1:47" s="87" customFormat="1" x14ac:dyDescent="0.25">
      <c r="E71" s="113"/>
      <c r="G71" s="113"/>
      <c r="H71" s="90"/>
      <c r="I71" s="170"/>
      <c r="J71" s="170"/>
      <c r="K71" s="170"/>
      <c r="L71" s="170"/>
      <c r="M71" s="170"/>
      <c r="P71" s="170"/>
      <c r="Q71" s="170"/>
      <c r="R71" s="170"/>
      <c r="S71" s="170"/>
      <c r="T71" s="170"/>
      <c r="U71" s="170"/>
      <c r="V71" s="170"/>
      <c r="AJ71" s="77"/>
      <c r="AK71" s="77"/>
      <c r="AL71" s="77"/>
      <c r="AM71" s="77"/>
      <c r="AN71" s="77"/>
      <c r="AO71" s="77"/>
      <c r="AP71" s="77"/>
      <c r="AQ71" s="77"/>
      <c r="AR71" s="77"/>
      <c r="AS71" s="77"/>
      <c r="AT71" s="77"/>
      <c r="AU71" s="77"/>
    </row>
    <row r="72" spans="1:47" s="87" customFormat="1" x14ac:dyDescent="0.25">
      <c r="H72" s="90"/>
      <c r="I72" s="170"/>
      <c r="J72" s="170"/>
      <c r="K72" s="170"/>
      <c r="L72" s="170"/>
      <c r="M72" s="170"/>
      <c r="P72" s="170"/>
      <c r="Q72" s="170"/>
      <c r="R72" s="170"/>
      <c r="S72" s="170"/>
      <c r="T72" s="170"/>
      <c r="U72" s="170"/>
      <c r="V72" s="170"/>
      <c r="AJ72" s="77"/>
      <c r="AK72" s="77"/>
      <c r="AL72" s="77"/>
      <c r="AM72" s="77"/>
      <c r="AN72" s="77"/>
      <c r="AO72" s="77"/>
      <c r="AP72" s="77"/>
      <c r="AQ72" s="77"/>
      <c r="AR72" s="77"/>
      <c r="AS72" s="77"/>
      <c r="AT72" s="77"/>
      <c r="AU72" s="77"/>
    </row>
    <row r="73" spans="1:47" s="87" customFormat="1" x14ac:dyDescent="0.25">
      <c r="H73" s="90"/>
      <c r="AJ73" s="77"/>
      <c r="AK73" s="77"/>
      <c r="AL73" s="77"/>
      <c r="AM73" s="77"/>
      <c r="AN73" s="77"/>
      <c r="AO73" s="77"/>
      <c r="AP73" s="77"/>
      <c r="AQ73" s="77"/>
      <c r="AR73" s="77"/>
      <c r="AS73" s="77"/>
      <c r="AT73" s="77"/>
      <c r="AU73" s="77"/>
    </row>
    <row r="74" spans="1:47" s="87" customFormat="1" x14ac:dyDescent="0.25">
      <c r="H74" s="90"/>
      <c r="N74" s="172"/>
      <c r="O74" s="172"/>
      <c r="AJ74" s="77"/>
      <c r="AK74" s="77"/>
      <c r="AL74" s="77"/>
      <c r="AM74" s="77"/>
      <c r="AN74" s="77"/>
      <c r="AO74" s="77"/>
      <c r="AP74" s="77"/>
      <c r="AQ74" s="77"/>
      <c r="AR74" s="77"/>
      <c r="AS74" s="77"/>
      <c r="AT74" s="77"/>
      <c r="AU74" s="77"/>
    </row>
    <row r="75" spans="1:47" s="87" customFormat="1" x14ac:dyDescent="0.25">
      <c r="A75" s="93"/>
      <c r="B75" s="111"/>
      <c r="E75" s="113"/>
      <c r="G75" s="113"/>
      <c r="H75" s="90"/>
      <c r="AJ75" s="77"/>
      <c r="AK75" s="77"/>
      <c r="AL75" s="77"/>
      <c r="AM75" s="77"/>
      <c r="AN75" s="77"/>
      <c r="AO75" s="77"/>
      <c r="AP75" s="77"/>
      <c r="AQ75" s="77"/>
      <c r="AR75" s="77"/>
      <c r="AS75" s="77"/>
      <c r="AT75" s="77"/>
      <c r="AU75" s="77"/>
    </row>
    <row r="76" spans="1:47" s="87" customFormat="1" x14ac:dyDescent="0.25">
      <c r="A76" s="93"/>
      <c r="B76" s="111"/>
      <c r="E76" s="113"/>
      <c r="G76" s="113"/>
      <c r="H76" s="90"/>
      <c r="AJ76" s="77"/>
      <c r="AK76" s="77"/>
      <c r="AL76" s="77"/>
      <c r="AM76" s="77"/>
      <c r="AN76" s="77"/>
      <c r="AO76" s="77"/>
      <c r="AP76" s="77"/>
      <c r="AQ76" s="77"/>
      <c r="AR76" s="77"/>
      <c r="AS76" s="77"/>
      <c r="AT76" s="77"/>
      <c r="AU76" s="77"/>
    </row>
    <row r="77" spans="1:47" s="87" customFormat="1" x14ac:dyDescent="0.25">
      <c r="A77" s="93"/>
      <c r="B77" s="111"/>
      <c r="E77" s="113"/>
      <c r="G77" s="113"/>
      <c r="H77" s="90"/>
      <c r="AJ77" s="77"/>
      <c r="AK77" s="77"/>
      <c r="AL77" s="77"/>
      <c r="AM77" s="77"/>
      <c r="AN77" s="77"/>
      <c r="AO77" s="77"/>
      <c r="AP77" s="77"/>
      <c r="AQ77" s="77"/>
      <c r="AR77" s="77"/>
      <c r="AS77" s="77"/>
      <c r="AT77" s="77"/>
      <c r="AU77" s="77"/>
    </row>
    <row r="78" spans="1:47" s="87" customFormat="1" x14ac:dyDescent="0.25">
      <c r="A78" s="93"/>
      <c r="B78" s="111"/>
      <c r="E78" s="113"/>
      <c r="G78" s="113"/>
      <c r="H78" s="90"/>
      <c r="AJ78" s="77"/>
      <c r="AK78" s="77"/>
      <c r="AL78" s="77"/>
      <c r="AM78" s="77"/>
      <c r="AN78" s="77"/>
      <c r="AO78" s="77"/>
      <c r="AP78" s="77"/>
      <c r="AQ78" s="77"/>
      <c r="AR78" s="77"/>
      <c r="AS78" s="77"/>
      <c r="AT78" s="77"/>
      <c r="AU78" s="77"/>
    </row>
    <row r="79" spans="1:47" s="87" customFormat="1" x14ac:dyDescent="0.25">
      <c r="A79" s="93"/>
      <c r="B79" s="111"/>
      <c r="E79" s="113"/>
      <c r="G79" s="113"/>
      <c r="H79" s="90"/>
      <c r="AJ79" s="77"/>
      <c r="AK79" s="77"/>
      <c r="AL79" s="77"/>
      <c r="AM79" s="77"/>
      <c r="AN79" s="77"/>
      <c r="AO79" s="77"/>
      <c r="AP79" s="77"/>
      <c r="AQ79" s="77"/>
      <c r="AR79" s="77"/>
      <c r="AS79" s="77"/>
      <c r="AT79" s="77"/>
      <c r="AU79" s="77"/>
    </row>
    <row r="80" spans="1:47" s="87" customFormat="1" x14ac:dyDescent="0.25">
      <c r="A80" s="96"/>
      <c r="B80" s="112"/>
      <c r="E80" s="113"/>
      <c r="G80" s="113"/>
      <c r="H80" s="90"/>
      <c r="AJ80" s="77"/>
      <c r="AK80" s="77"/>
      <c r="AL80" s="77"/>
      <c r="AM80" s="77"/>
      <c r="AN80" s="77"/>
      <c r="AO80" s="77"/>
      <c r="AP80" s="77"/>
      <c r="AQ80" s="77"/>
      <c r="AR80" s="77"/>
      <c r="AS80" s="77"/>
      <c r="AT80" s="77"/>
      <c r="AU80" s="77"/>
    </row>
    <row r="81" spans="1:47" s="87" customFormat="1" x14ac:dyDescent="0.25">
      <c r="A81" s="96"/>
      <c r="B81" s="112"/>
      <c r="E81" s="113"/>
      <c r="G81" s="113"/>
      <c r="H81" s="90"/>
      <c r="AJ81" s="77"/>
      <c r="AK81" s="77"/>
      <c r="AL81" s="77"/>
      <c r="AM81" s="77"/>
      <c r="AN81" s="77"/>
      <c r="AO81" s="77"/>
      <c r="AP81" s="77"/>
      <c r="AQ81" s="77"/>
      <c r="AR81" s="77"/>
      <c r="AS81" s="77"/>
      <c r="AT81" s="77"/>
      <c r="AU81" s="77"/>
    </row>
    <row r="82" spans="1:47" s="87" customFormat="1" x14ac:dyDescent="0.25">
      <c r="A82" s="96"/>
      <c r="B82" s="112"/>
      <c r="E82" s="113"/>
      <c r="G82" s="113"/>
      <c r="H82" s="90"/>
      <c r="AJ82" s="77"/>
      <c r="AK82" s="77"/>
      <c r="AL82" s="77"/>
      <c r="AM82" s="77"/>
      <c r="AN82" s="77"/>
      <c r="AO82" s="77"/>
      <c r="AP82" s="77"/>
      <c r="AQ82" s="77"/>
      <c r="AR82" s="77"/>
      <c r="AS82" s="77"/>
      <c r="AT82" s="77"/>
      <c r="AU82" s="77"/>
    </row>
    <row r="83" spans="1:47" s="87" customFormat="1" x14ac:dyDescent="0.25">
      <c r="A83" s="96"/>
      <c r="B83" s="112"/>
      <c r="E83" s="113"/>
      <c r="G83" s="113"/>
      <c r="H83" s="90"/>
      <c r="AJ83" s="77"/>
      <c r="AK83" s="77"/>
      <c r="AL83" s="77"/>
      <c r="AM83" s="77"/>
      <c r="AN83" s="77"/>
      <c r="AO83" s="77"/>
      <c r="AP83" s="77"/>
      <c r="AQ83" s="77"/>
      <c r="AR83" s="77"/>
      <c r="AS83" s="77"/>
      <c r="AT83" s="77"/>
      <c r="AU83" s="77"/>
    </row>
    <row r="84" spans="1:47" s="87" customFormat="1" x14ac:dyDescent="0.25">
      <c r="A84" s="97"/>
      <c r="B84" s="90"/>
      <c r="E84" s="113"/>
      <c r="G84" s="113"/>
      <c r="H84" s="90"/>
      <c r="AJ84" s="77"/>
      <c r="AK84" s="77"/>
      <c r="AL84" s="77"/>
      <c r="AM84" s="77"/>
      <c r="AN84" s="77"/>
      <c r="AO84" s="77"/>
      <c r="AP84" s="77"/>
      <c r="AQ84" s="77"/>
      <c r="AR84" s="77"/>
      <c r="AS84" s="77"/>
      <c r="AT84" s="77"/>
      <c r="AU84" s="77"/>
    </row>
    <row r="85" spans="1:47" s="87" customFormat="1" x14ac:dyDescent="0.25">
      <c r="A85" s="97"/>
      <c r="B85" s="113"/>
      <c r="E85" s="113"/>
      <c r="G85" s="113"/>
      <c r="H85" s="90"/>
      <c r="AJ85" s="77"/>
      <c r="AK85" s="77"/>
      <c r="AL85" s="77"/>
      <c r="AM85" s="77"/>
      <c r="AN85" s="77"/>
      <c r="AO85" s="77"/>
      <c r="AP85" s="77"/>
      <c r="AQ85" s="77"/>
      <c r="AR85" s="77"/>
      <c r="AS85" s="77"/>
      <c r="AT85" s="77"/>
      <c r="AU85" s="77"/>
    </row>
    <row r="86" spans="1:47" s="87" customFormat="1" x14ac:dyDescent="0.25">
      <c r="A86" s="97"/>
      <c r="B86" s="90"/>
      <c r="E86" s="113"/>
      <c r="G86" s="113"/>
      <c r="H86" s="90"/>
      <c r="AJ86" s="77"/>
      <c r="AK86" s="77"/>
      <c r="AL86" s="77"/>
      <c r="AM86" s="77"/>
      <c r="AN86" s="77"/>
      <c r="AO86" s="77"/>
      <c r="AP86" s="77"/>
      <c r="AQ86" s="77"/>
      <c r="AR86" s="77"/>
      <c r="AS86" s="77"/>
      <c r="AT86" s="77"/>
      <c r="AU86" s="77"/>
    </row>
    <row r="87" spans="1:47" s="87" customFormat="1" x14ac:dyDescent="0.25">
      <c r="A87" s="97"/>
      <c r="B87" s="90"/>
      <c r="E87" s="113"/>
      <c r="G87" s="113"/>
      <c r="H87" s="90"/>
      <c r="AJ87" s="77"/>
      <c r="AK87" s="77"/>
      <c r="AL87" s="77"/>
      <c r="AM87" s="77"/>
      <c r="AN87" s="77"/>
      <c r="AO87" s="77"/>
      <c r="AP87" s="77"/>
      <c r="AQ87" s="77"/>
      <c r="AR87" s="77"/>
      <c r="AS87" s="77"/>
      <c r="AT87" s="77"/>
      <c r="AU87" s="77"/>
    </row>
    <row r="88" spans="1:47" s="87" customFormat="1" x14ac:dyDescent="0.25">
      <c r="A88" s="97"/>
      <c r="B88" s="113"/>
      <c r="E88" s="113"/>
      <c r="G88" s="113"/>
      <c r="H88" s="90"/>
      <c r="AJ88" s="77"/>
      <c r="AK88" s="77"/>
      <c r="AL88" s="77"/>
      <c r="AM88" s="77"/>
      <c r="AN88" s="77"/>
      <c r="AO88" s="77"/>
      <c r="AP88" s="77"/>
      <c r="AQ88" s="77"/>
      <c r="AR88" s="77"/>
      <c r="AS88" s="77"/>
      <c r="AT88" s="77"/>
      <c r="AU88" s="77"/>
    </row>
  </sheetData>
  <sheetProtection sheet="1" objects="1" scenarios="1"/>
  <mergeCells count="1">
    <mergeCell ref="A1:A2"/>
  </mergeCells>
  <dataValidations count="1">
    <dataValidation type="list" allowBlank="1" showInputMessage="1" showErrorMessage="1" sqref="A6:A21" xr:uid="{00000000-0002-0000-0400-000000000000}">
      <formula1>alimentos</formula1>
    </dataValidation>
  </dataValidations>
  <pageMargins left="0.78740157499999996" right="0.78740157499999996" top="0.984251969" bottom="0.984251969" header="0.49212598499999999" footer="0.49212598499999999"/>
  <pageSetup paperSize="9" orientation="portrait" horizontalDpi="300" verticalDpi="300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78"/>
  <sheetViews>
    <sheetView zoomScale="80" zoomScaleNormal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C25" sqref="C25:C31"/>
    </sheetView>
  </sheetViews>
  <sheetFormatPr defaultRowHeight="16.5" x14ac:dyDescent="0.25"/>
  <cols>
    <col min="1" max="1" width="34.85546875" style="77" bestFit="1" customWidth="1"/>
    <col min="2" max="4" width="13.28515625" style="87" customWidth="1"/>
    <col min="5" max="5" width="13.28515625" style="113" customWidth="1"/>
    <col min="6" max="6" width="13.28515625" style="87" customWidth="1"/>
    <col min="7" max="7" width="13.28515625" style="113" customWidth="1"/>
    <col min="8" max="8" width="13.28515625" style="90" customWidth="1"/>
    <col min="9" max="21" width="13.28515625" style="87" customWidth="1"/>
    <col min="22" max="22" width="18.42578125" style="87" bestFit="1" customWidth="1"/>
    <col min="23" max="35" width="13.28515625" style="87" customWidth="1"/>
    <col min="36" max="45" width="13.28515625" style="77" customWidth="1"/>
    <col min="46" max="48" width="10.5703125" style="77" hidden="1" customWidth="1"/>
    <col min="49" max="49" width="23.140625" style="77" hidden="1" customWidth="1"/>
    <col min="50" max="50" width="11.7109375" style="77" hidden="1" customWidth="1"/>
    <col min="51" max="51" width="16" style="77" hidden="1" customWidth="1"/>
    <col min="52" max="52" width="17" style="77" hidden="1" customWidth="1"/>
    <col min="53" max="55" width="16.28515625" style="77" hidden="1" customWidth="1"/>
    <col min="56" max="16384" width="9.140625" style="77"/>
  </cols>
  <sheetData>
    <row r="1" spans="1:55" ht="18.75" customHeight="1" x14ac:dyDescent="0.25">
      <c r="A1" s="245" t="s">
        <v>237</v>
      </c>
      <c r="E1" s="87"/>
      <c r="G1" s="87"/>
      <c r="H1" s="87"/>
      <c r="P1" s="77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</row>
    <row r="2" spans="1:55" ht="17.25" customHeight="1" x14ac:dyDescent="0.25">
      <c r="A2" s="246"/>
      <c r="E2" s="87"/>
      <c r="G2" s="87"/>
      <c r="H2" s="87"/>
      <c r="P2" s="77"/>
    </row>
    <row r="3" spans="1:55" x14ac:dyDescent="0.25">
      <c r="A3" s="88"/>
      <c r="B3" s="89"/>
      <c r="C3" s="85"/>
      <c r="D3" s="75"/>
      <c r="E3" s="77"/>
      <c r="F3" s="77"/>
      <c r="G3" s="77"/>
      <c r="I3" s="77"/>
      <c r="J3" s="75"/>
      <c r="K3" s="91"/>
    </row>
    <row r="4" spans="1:55" s="98" customFormat="1" x14ac:dyDescent="0.25">
      <c r="A4" s="92" t="s">
        <v>1</v>
      </c>
      <c r="B4" s="85" t="s">
        <v>108</v>
      </c>
      <c r="C4" s="85"/>
      <c r="D4" s="85"/>
      <c r="E4" s="93" t="s">
        <v>2</v>
      </c>
      <c r="F4" s="93" t="s">
        <v>3</v>
      </c>
      <c r="G4" s="93" t="s">
        <v>3</v>
      </c>
      <c r="H4" s="93" t="s">
        <v>3</v>
      </c>
      <c r="I4" s="93" t="s">
        <v>3</v>
      </c>
      <c r="J4" s="94" t="s">
        <v>3</v>
      </c>
      <c r="K4" s="94" t="s">
        <v>109</v>
      </c>
      <c r="L4" s="94" t="s">
        <v>109</v>
      </c>
      <c r="M4" s="93" t="s">
        <v>3</v>
      </c>
      <c r="N4" s="93" t="s">
        <v>3</v>
      </c>
      <c r="O4" s="95" t="s">
        <v>4</v>
      </c>
      <c r="P4" s="93" t="s">
        <v>3</v>
      </c>
      <c r="Q4" s="93" t="s">
        <v>3</v>
      </c>
      <c r="R4" s="94" t="s">
        <v>3</v>
      </c>
      <c r="S4" s="93" t="s">
        <v>3</v>
      </c>
      <c r="T4" s="93" t="s">
        <v>3</v>
      </c>
      <c r="U4" s="94" t="s">
        <v>3</v>
      </c>
      <c r="V4" s="94" t="s">
        <v>100</v>
      </c>
      <c r="W4" s="96" t="s">
        <v>3</v>
      </c>
      <c r="X4" s="96" t="s">
        <v>3</v>
      </c>
      <c r="Y4" s="96" t="s">
        <v>3</v>
      </c>
      <c r="Z4" s="96" t="s">
        <v>3</v>
      </c>
      <c r="AA4" s="96" t="s">
        <v>3</v>
      </c>
      <c r="AB4" s="96" t="s">
        <v>3</v>
      </c>
      <c r="AC4" s="96" t="s">
        <v>3</v>
      </c>
      <c r="AD4" s="96" t="s">
        <v>3</v>
      </c>
      <c r="AE4" s="96" t="s">
        <v>3</v>
      </c>
      <c r="AF4" s="97" t="s">
        <v>34</v>
      </c>
      <c r="AG4" s="97" t="s">
        <v>34</v>
      </c>
      <c r="AH4" s="97" t="s">
        <v>34</v>
      </c>
      <c r="AI4" s="97" t="s">
        <v>34</v>
      </c>
      <c r="AJ4" s="97" t="s">
        <v>34</v>
      </c>
      <c r="AK4" s="97" t="s">
        <v>34</v>
      </c>
      <c r="AL4" s="97" t="s">
        <v>34</v>
      </c>
      <c r="AM4" s="97" t="s">
        <v>36</v>
      </c>
      <c r="AN4" s="97" t="s">
        <v>36</v>
      </c>
      <c r="AO4" s="97" t="s">
        <v>36</v>
      </c>
      <c r="AP4" s="97" t="s">
        <v>34</v>
      </c>
      <c r="AQ4" s="97" t="s">
        <v>34</v>
      </c>
      <c r="AR4" s="97" t="s">
        <v>34</v>
      </c>
      <c r="AS4" s="97" t="s">
        <v>172</v>
      </c>
      <c r="AT4" s="97" t="s">
        <v>228</v>
      </c>
      <c r="AU4" s="97" t="s">
        <v>230</v>
      </c>
      <c r="AV4" s="97" t="s">
        <v>231</v>
      </c>
      <c r="AW4" s="97" t="s">
        <v>227</v>
      </c>
      <c r="AX4" s="97" t="s">
        <v>232</v>
      </c>
      <c r="AY4" s="97" t="s">
        <v>234</v>
      </c>
      <c r="AZ4" s="97" t="s">
        <v>235</v>
      </c>
      <c r="BA4" s="97" t="s">
        <v>236</v>
      </c>
      <c r="BB4" s="173" t="s">
        <v>247</v>
      </c>
      <c r="BC4" s="173" t="s">
        <v>248</v>
      </c>
    </row>
    <row r="5" spans="1:55" s="98" customFormat="1" ht="17.25" thickBot="1" x14ac:dyDescent="0.3">
      <c r="A5" s="98" t="s">
        <v>5</v>
      </c>
      <c r="B5" s="85" t="s">
        <v>6</v>
      </c>
      <c r="C5" s="85"/>
      <c r="D5" s="85"/>
      <c r="E5" s="93" t="s">
        <v>7</v>
      </c>
      <c r="F5" s="93" t="s">
        <v>8</v>
      </c>
      <c r="G5" s="93" t="s">
        <v>9</v>
      </c>
      <c r="H5" s="93" t="s">
        <v>67</v>
      </c>
      <c r="I5" s="93" t="s">
        <v>10</v>
      </c>
      <c r="J5" s="94" t="s">
        <v>11</v>
      </c>
      <c r="K5" s="94" t="s">
        <v>110</v>
      </c>
      <c r="L5" s="94" t="s">
        <v>111</v>
      </c>
      <c r="M5" s="93" t="s">
        <v>12</v>
      </c>
      <c r="N5" s="93" t="s">
        <v>13</v>
      </c>
      <c r="O5" s="95" t="s">
        <v>14</v>
      </c>
      <c r="P5" s="93" t="s">
        <v>15</v>
      </c>
      <c r="Q5" s="93" t="s">
        <v>16</v>
      </c>
      <c r="R5" s="94" t="s">
        <v>114</v>
      </c>
      <c r="S5" s="93" t="s">
        <v>17</v>
      </c>
      <c r="T5" s="93" t="s">
        <v>18</v>
      </c>
      <c r="U5" s="93" t="s">
        <v>99</v>
      </c>
      <c r="V5" s="94" t="s">
        <v>101</v>
      </c>
      <c r="W5" s="96" t="s">
        <v>19</v>
      </c>
      <c r="X5" s="96" t="s">
        <v>20</v>
      </c>
      <c r="Y5" s="96" t="s">
        <v>21</v>
      </c>
      <c r="Z5" s="96" t="s">
        <v>22</v>
      </c>
      <c r="AA5" s="96" t="s">
        <v>23</v>
      </c>
      <c r="AB5" s="96" t="s">
        <v>24</v>
      </c>
      <c r="AC5" s="96" t="s">
        <v>25</v>
      </c>
      <c r="AD5" s="96" t="s">
        <v>26</v>
      </c>
      <c r="AE5" s="96" t="s">
        <v>27</v>
      </c>
      <c r="AF5" s="97" t="s">
        <v>37</v>
      </c>
      <c r="AG5" s="97" t="s">
        <v>38</v>
      </c>
      <c r="AH5" s="97" t="s">
        <v>41</v>
      </c>
      <c r="AI5" s="97" t="s">
        <v>43</v>
      </c>
      <c r="AJ5" s="97" t="s">
        <v>42</v>
      </c>
      <c r="AK5" s="97" t="s">
        <v>40</v>
      </c>
      <c r="AL5" s="97" t="s">
        <v>39</v>
      </c>
      <c r="AM5" s="97" t="s">
        <v>44</v>
      </c>
      <c r="AN5" s="97" t="s">
        <v>45</v>
      </c>
      <c r="AO5" s="97" t="s">
        <v>46</v>
      </c>
      <c r="AP5" s="97" t="s">
        <v>47</v>
      </c>
      <c r="AQ5" s="97" t="s">
        <v>48</v>
      </c>
      <c r="AR5" s="97" t="s">
        <v>170</v>
      </c>
      <c r="AS5" s="97" t="s">
        <v>171</v>
      </c>
      <c r="AT5" s="97" t="s">
        <v>229</v>
      </c>
      <c r="AU5" s="97" t="s">
        <v>229</v>
      </c>
      <c r="AV5" s="97" t="s">
        <v>229</v>
      </c>
      <c r="AW5" s="97" t="s">
        <v>100</v>
      </c>
      <c r="AX5" s="97" t="s">
        <v>233</v>
      </c>
      <c r="AY5" s="97" t="s">
        <v>233</v>
      </c>
      <c r="AZ5" s="97" t="s">
        <v>233</v>
      </c>
      <c r="BA5" s="97" t="s">
        <v>233</v>
      </c>
      <c r="BB5" s="173" t="s">
        <v>229</v>
      </c>
      <c r="BC5" s="173" t="s">
        <v>229</v>
      </c>
    </row>
    <row r="6" spans="1:55" ht="17.25" thickTop="1" x14ac:dyDescent="0.25">
      <c r="A6" s="108" t="s">
        <v>60</v>
      </c>
      <c r="B6" s="102">
        <f>VLOOKUP($A6,Alimentos!$A:$BA,2,FALSE)</f>
        <v>0</v>
      </c>
      <c r="C6" s="103">
        <f>VLOOKUP($A6,Alimentos!$A:$BA,4,FALSE)</f>
        <v>0</v>
      </c>
      <c r="D6" s="102"/>
      <c r="E6" s="104">
        <f>VLOOKUP($A6,Alimentos!$A:$BA,5,FALSE)</f>
        <v>0</v>
      </c>
      <c r="F6" s="104">
        <f>VLOOKUP($A6,Alimentos!$A:$BA,6,FALSE)</f>
        <v>0</v>
      </c>
      <c r="G6" s="104">
        <f>VLOOKUP($A6,Alimentos!$A:$BA,7,FALSE)</f>
        <v>0</v>
      </c>
      <c r="H6" s="104">
        <f>VLOOKUP($A6,Alimentos!$A:$BA,8,FALSE)</f>
        <v>0</v>
      </c>
      <c r="I6" s="104">
        <f>VLOOKUP($A6,Alimentos!$A:$BA,9,FALSE)</f>
        <v>0</v>
      </c>
      <c r="J6" s="104">
        <f>VLOOKUP($A6,Alimentos!$A:$BA,10,FALSE)</f>
        <v>0</v>
      </c>
      <c r="K6" s="104">
        <f>VLOOKUP($A6,Alimentos!$A:$BA,11,FALSE)</f>
        <v>0</v>
      </c>
      <c r="L6" s="104">
        <f>VLOOKUP($A6,Alimentos!$A:$BA,12,FALSE)</f>
        <v>0</v>
      </c>
      <c r="M6" s="104">
        <f>VLOOKUP($A6,Alimentos!$A:$BA,13,FALSE)</f>
        <v>0</v>
      </c>
      <c r="N6" s="104">
        <f>VLOOKUP($A6,Alimentos!$A:$BA,14,FALSE)</f>
        <v>0</v>
      </c>
      <c r="O6" s="105">
        <f>VLOOKUP($A6,Alimentos!$A:$BA,15,FALSE)</f>
        <v>0</v>
      </c>
      <c r="P6" s="104">
        <f>VLOOKUP($A6,Alimentos!$A:$BA,16,FALSE)</f>
        <v>0</v>
      </c>
      <c r="Q6" s="104">
        <f>VLOOKUP($A6,Alimentos!$A:$BA,17,FALSE)</f>
        <v>0</v>
      </c>
      <c r="R6" s="104">
        <f>VLOOKUP($A6,Alimentos!$A:$BA,18,FALSE)</f>
        <v>0</v>
      </c>
      <c r="S6" s="104">
        <f>VLOOKUP($A6,Alimentos!$A:$BA,19,FALSE)</f>
        <v>0</v>
      </c>
      <c r="T6" s="104">
        <f>VLOOKUP($A6,Alimentos!$A:$BA,20,FALSE)</f>
        <v>0</v>
      </c>
      <c r="U6" s="104">
        <f>VLOOKUP($A6,Alimentos!$A:$BA,21,FALSE)</f>
        <v>0</v>
      </c>
      <c r="V6" s="104">
        <f>VLOOKUP($A6,Alimentos!$A:$BA,22,FALSE)</f>
        <v>0</v>
      </c>
      <c r="W6" s="106">
        <f>VLOOKUP($A6,Alimentos!$A:$BA,23,FALSE)</f>
        <v>0</v>
      </c>
      <c r="X6" s="106">
        <f>VLOOKUP($A6,Alimentos!$A:$BA,24,FALSE)</f>
        <v>0</v>
      </c>
      <c r="Y6" s="106">
        <f>VLOOKUP($A6,Alimentos!$A:$BA,25,FALSE)</f>
        <v>0</v>
      </c>
      <c r="Z6" s="106">
        <f>VLOOKUP($A6,Alimentos!$A:$BA,26,FALSE)</f>
        <v>0</v>
      </c>
      <c r="AA6" s="106">
        <f>VLOOKUP($A6,Alimentos!$A:$BA,27,FALSE)</f>
        <v>0</v>
      </c>
      <c r="AB6" s="106">
        <f>VLOOKUP($A6,Alimentos!$A:$BA,28,FALSE)</f>
        <v>0</v>
      </c>
      <c r="AC6" s="106">
        <f>VLOOKUP($A6,Alimentos!$A:$BA,29,FALSE)</f>
        <v>0</v>
      </c>
      <c r="AD6" s="106">
        <f>VLOOKUP($A6,Alimentos!$A:$BA,30,FALSE)</f>
        <v>0</v>
      </c>
      <c r="AE6" s="106">
        <f>VLOOKUP($A6,Alimentos!$A:$BA,31,FALSE)</f>
        <v>0</v>
      </c>
      <c r="AF6" s="107">
        <f>VLOOKUP($A6,Alimentos!$A:$BA,32,FALSE)</f>
        <v>0</v>
      </c>
      <c r="AG6" s="107">
        <f>VLOOKUP($A6,Alimentos!$A:$BA,33,FALSE)</f>
        <v>0</v>
      </c>
      <c r="AH6" s="107">
        <f>VLOOKUP($A6,Alimentos!$A:$BA,34,FALSE)</f>
        <v>0</v>
      </c>
      <c r="AI6" s="107">
        <f>VLOOKUP($A6,Alimentos!$A:$BA,35,FALSE)</f>
        <v>0</v>
      </c>
      <c r="AJ6" s="107">
        <f>VLOOKUP($A6,Alimentos!$A:$BA,36,FALSE)</f>
        <v>0</v>
      </c>
      <c r="AK6" s="107">
        <f>VLOOKUP($A6,Alimentos!$A:$BA,37,FALSE)</f>
        <v>0</v>
      </c>
      <c r="AL6" s="107">
        <f>VLOOKUP($A6,Alimentos!$A:$BA,38,FALSE)</f>
        <v>0</v>
      </c>
      <c r="AM6" s="107">
        <f>VLOOKUP($A6,Alimentos!$A:$BA,39,FALSE)</f>
        <v>0</v>
      </c>
      <c r="AN6" s="107">
        <f>VLOOKUP($A6,Alimentos!$A:$BA,40,FALSE)</f>
        <v>0</v>
      </c>
      <c r="AO6" s="107">
        <f>VLOOKUP($A6,Alimentos!$A:$BA,41,FALSE)</f>
        <v>0</v>
      </c>
      <c r="AP6" s="107">
        <f>VLOOKUP($A6,Alimentos!$A:$BA,42,FALSE)</f>
        <v>0</v>
      </c>
      <c r="AQ6" s="107">
        <f>VLOOKUP($A6,Alimentos!$A:$BA,43,FALSE)</f>
        <v>0</v>
      </c>
      <c r="AR6" s="107">
        <f>VLOOKUP($A6,Alimentos!$A:$BA,44,FALSE)</f>
        <v>0</v>
      </c>
      <c r="AS6" s="107">
        <f>VLOOKUP($A6,Alimentos!$A:$BA,45,FALSE)</f>
        <v>0</v>
      </c>
      <c r="AT6" s="217">
        <f>VLOOKUP($A6,Alimentos!$A:$BA,46,FALSE)</f>
        <v>0</v>
      </c>
      <c r="AU6" s="217">
        <f>VLOOKUP($A6,Alimentos!$A:$BA,47,FALSE)</f>
        <v>0</v>
      </c>
      <c r="AV6" s="217">
        <f>VLOOKUP($A6,Alimentos!$A:$BA,48,FALSE)</f>
        <v>0</v>
      </c>
      <c r="AW6" s="217">
        <f>VLOOKUP($A6,Alimentos!$A:$BA,49,FALSE)</f>
        <v>0</v>
      </c>
      <c r="AX6" s="217">
        <f>VLOOKUP($A6,Alimentos!$A:$BA,50,FALSE)</f>
        <v>0</v>
      </c>
      <c r="AY6" s="107">
        <f>VLOOKUP($A6,Alimentos!$A:$BA,51,FALSE)</f>
        <v>0</v>
      </c>
      <c r="AZ6" s="107">
        <f>VLOOKUP($A6,Alimentos!$A:$BA,52,FALSE)</f>
        <v>0</v>
      </c>
      <c r="BA6" s="107">
        <f>VLOOKUP($A6,Alimentos!$A:$BA,53,FALSE)</f>
        <v>0</v>
      </c>
      <c r="BB6" s="107">
        <f>VLOOKUP($A6,Alimentos!$A:$BC,54,FALSE)</f>
        <v>0</v>
      </c>
      <c r="BC6" s="107">
        <f>VLOOKUP($A6,Alimentos!$A:$BC,55,FALSE)</f>
        <v>0</v>
      </c>
    </row>
    <row r="7" spans="1:55" x14ac:dyDescent="0.25">
      <c r="A7" s="108" t="s">
        <v>60</v>
      </c>
      <c r="B7" s="109">
        <f>VLOOKUP($A7,Alimentos!$A:$BA,2,FALSE)</f>
        <v>0</v>
      </c>
      <c r="C7" s="110">
        <f>VLOOKUP($A7,Alimentos!$A:$BA,4,FALSE)</f>
        <v>0</v>
      </c>
      <c r="D7" s="109"/>
      <c r="E7" s="111">
        <f>VLOOKUP($A7,Alimentos!$A:$BA,5,FALSE)</f>
        <v>0</v>
      </c>
      <c r="F7" s="111">
        <f>VLOOKUP($A7,Alimentos!$A:$BA,6,FALSE)</f>
        <v>0</v>
      </c>
      <c r="G7" s="111">
        <f>VLOOKUP($A7,Alimentos!$A:$BA,7,FALSE)</f>
        <v>0</v>
      </c>
      <c r="H7" s="111">
        <f>VLOOKUP($A7,Alimentos!$A:$BA,8,FALSE)</f>
        <v>0</v>
      </c>
      <c r="I7" s="111">
        <f>VLOOKUP($A7,Alimentos!$A:$BA,9,FALSE)</f>
        <v>0</v>
      </c>
      <c r="J7" s="111">
        <f>VLOOKUP($A7,Alimentos!$A:$BA,10,FALSE)</f>
        <v>0</v>
      </c>
      <c r="K7" s="111">
        <f>VLOOKUP($A7,Alimentos!$A:$BA,11,FALSE)</f>
        <v>0</v>
      </c>
      <c r="L7" s="111">
        <f>VLOOKUP($A7,Alimentos!$A:$BA,12,FALSE)</f>
        <v>0</v>
      </c>
      <c r="M7" s="111">
        <f>VLOOKUP($A7,Alimentos!$A:$BA,13,FALSE)</f>
        <v>0</v>
      </c>
      <c r="N7" s="111">
        <f>VLOOKUP($A7,Alimentos!$A:$BA,14,FALSE)</f>
        <v>0</v>
      </c>
      <c r="O7" s="90">
        <f>VLOOKUP($A7,Alimentos!$A:$BA,15,FALSE)</f>
        <v>0</v>
      </c>
      <c r="P7" s="111">
        <f>VLOOKUP($A7,Alimentos!$A:$BA,16,FALSE)</f>
        <v>0</v>
      </c>
      <c r="Q7" s="111">
        <f>VLOOKUP($A7,Alimentos!$A:$BA,17,FALSE)</f>
        <v>0</v>
      </c>
      <c r="R7" s="111">
        <f>VLOOKUP($A7,Alimentos!$A:$BA,18,FALSE)</f>
        <v>0</v>
      </c>
      <c r="S7" s="111">
        <f>VLOOKUP($A7,Alimentos!$A:$BA,19,FALSE)</f>
        <v>0</v>
      </c>
      <c r="T7" s="111">
        <f>VLOOKUP($A7,Alimentos!$A:$BA,20,FALSE)</f>
        <v>0</v>
      </c>
      <c r="U7" s="111">
        <f>VLOOKUP($A7,Alimentos!$A:$BA,21,FALSE)</f>
        <v>0</v>
      </c>
      <c r="V7" s="111">
        <f>VLOOKUP($A7,Alimentos!$A:$BA,22,FALSE)</f>
        <v>0</v>
      </c>
      <c r="W7" s="112">
        <f>VLOOKUP($A7,Alimentos!$A:$BA,23,FALSE)</f>
        <v>0</v>
      </c>
      <c r="X7" s="112">
        <f>VLOOKUP($A7,Alimentos!$A:$BA,24,FALSE)</f>
        <v>0</v>
      </c>
      <c r="Y7" s="112">
        <f>VLOOKUP($A7,Alimentos!$A:$BA,25,FALSE)</f>
        <v>0</v>
      </c>
      <c r="Z7" s="112">
        <f>VLOOKUP($A7,Alimentos!$A:$BA,26,FALSE)</f>
        <v>0</v>
      </c>
      <c r="AA7" s="112">
        <f>VLOOKUP($A7,Alimentos!$A:$BA,27,FALSE)</f>
        <v>0</v>
      </c>
      <c r="AB7" s="112">
        <f>VLOOKUP($A7,Alimentos!$A:$BA,28,FALSE)</f>
        <v>0</v>
      </c>
      <c r="AC7" s="112">
        <f>VLOOKUP($A7,Alimentos!$A:$BA,29,FALSE)</f>
        <v>0</v>
      </c>
      <c r="AD7" s="112">
        <f>VLOOKUP($A7,Alimentos!$A:$BA,30,FALSE)</f>
        <v>0</v>
      </c>
      <c r="AE7" s="112">
        <f>VLOOKUP($A7,Alimentos!$A:$BA,31,FALSE)</f>
        <v>0</v>
      </c>
      <c r="AF7" s="113">
        <f>VLOOKUP($A7,Alimentos!$A:$BA,32,FALSE)</f>
        <v>0</v>
      </c>
      <c r="AG7" s="113">
        <f>VLOOKUP($A7,Alimentos!$A:$BA,33,FALSE)</f>
        <v>0</v>
      </c>
      <c r="AH7" s="113">
        <f>VLOOKUP($A7,Alimentos!$A:$BA,34,FALSE)</f>
        <v>0</v>
      </c>
      <c r="AI7" s="113">
        <f>VLOOKUP($A7,Alimentos!$A:$BA,35,FALSE)</f>
        <v>0</v>
      </c>
      <c r="AJ7" s="113">
        <f>VLOOKUP($A7,Alimentos!$A:$BA,36,FALSE)</f>
        <v>0</v>
      </c>
      <c r="AK7" s="113">
        <f>VLOOKUP($A7,Alimentos!$A:$BA,37,FALSE)</f>
        <v>0</v>
      </c>
      <c r="AL7" s="113">
        <f>VLOOKUP($A7,Alimentos!$A:$BA,38,FALSE)</f>
        <v>0</v>
      </c>
      <c r="AM7" s="113">
        <f>VLOOKUP($A7,Alimentos!$A:$BA,39,FALSE)</f>
        <v>0</v>
      </c>
      <c r="AN7" s="113">
        <f>VLOOKUP($A7,Alimentos!$A:$BA,40,FALSE)</f>
        <v>0</v>
      </c>
      <c r="AO7" s="113">
        <f>VLOOKUP($A7,Alimentos!$A:$BA,41,FALSE)</f>
        <v>0</v>
      </c>
      <c r="AP7" s="113">
        <f>VLOOKUP($A7,Alimentos!$A:$BA,42,FALSE)</f>
        <v>0</v>
      </c>
      <c r="AQ7" s="113">
        <f>VLOOKUP($A7,Alimentos!$A:$BA,43,FALSE)</f>
        <v>0</v>
      </c>
      <c r="AR7" s="113">
        <f>VLOOKUP($A7,Alimentos!$A:$BA,44,FALSE)</f>
        <v>0</v>
      </c>
      <c r="AS7" s="113">
        <f>VLOOKUP($A7,Alimentos!$A:$BA,45,FALSE)</f>
        <v>0</v>
      </c>
      <c r="AT7" s="218">
        <f>VLOOKUP($A7,Alimentos!$A:$BA,46,FALSE)</f>
        <v>0</v>
      </c>
      <c r="AU7" s="218">
        <f>VLOOKUP($A7,Alimentos!$A:$BA,47,FALSE)</f>
        <v>0</v>
      </c>
      <c r="AV7" s="218">
        <f>VLOOKUP($A7,Alimentos!$A:$BA,48,FALSE)</f>
        <v>0</v>
      </c>
      <c r="AW7" s="218">
        <f>VLOOKUP($A7,Alimentos!$A:$BA,49,FALSE)</f>
        <v>0</v>
      </c>
      <c r="AX7" s="218">
        <f>VLOOKUP($A7,Alimentos!$A:$BA,50,FALSE)</f>
        <v>0</v>
      </c>
      <c r="AY7" s="113">
        <f>VLOOKUP($A7,Alimentos!$A:$BA,51,FALSE)</f>
        <v>0</v>
      </c>
      <c r="AZ7" s="113">
        <f>VLOOKUP($A7,Alimentos!$A:$BA,52,FALSE)</f>
        <v>0</v>
      </c>
      <c r="BA7" s="113">
        <f>VLOOKUP($A7,Alimentos!$A:$BA,53,FALSE)</f>
        <v>0</v>
      </c>
      <c r="BB7" s="113">
        <f>VLOOKUP($A7,Alimentos!$A:$BC,54,FALSE)</f>
        <v>0</v>
      </c>
      <c r="BC7" s="113">
        <f>VLOOKUP($A7,Alimentos!$A:$BC,55,FALSE)</f>
        <v>0</v>
      </c>
    </row>
    <row r="8" spans="1:55" x14ac:dyDescent="0.25">
      <c r="A8" s="108" t="s">
        <v>60</v>
      </c>
      <c r="B8" s="109">
        <f>VLOOKUP($A8,Alimentos!$A:$BA,2,FALSE)</f>
        <v>0</v>
      </c>
      <c r="C8" s="114">
        <f>VLOOKUP($A8,Alimentos!$A:$BA,4,FALSE)</f>
        <v>0</v>
      </c>
      <c r="E8" s="111">
        <f>VLOOKUP($A8,Alimentos!$A:$BA,5,FALSE)</f>
        <v>0</v>
      </c>
      <c r="F8" s="111">
        <f>VLOOKUP($A8,Alimentos!$A:$BA,6,FALSE)</f>
        <v>0</v>
      </c>
      <c r="G8" s="111">
        <f>VLOOKUP($A8,Alimentos!$A:$BA,7,FALSE)</f>
        <v>0</v>
      </c>
      <c r="H8" s="111">
        <f>VLOOKUP($A8,Alimentos!$A:$BA,8,FALSE)</f>
        <v>0</v>
      </c>
      <c r="I8" s="111">
        <f>VLOOKUP($A8,Alimentos!$A:$BA,9,FALSE)</f>
        <v>0</v>
      </c>
      <c r="J8" s="111">
        <f>VLOOKUP($A8,Alimentos!$A:$BA,10,FALSE)</f>
        <v>0</v>
      </c>
      <c r="K8" s="111">
        <f>VLOOKUP($A8,Alimentos!$A:$BA,11,FALSE)</f>
        <v>0</v>
      </c>
      <c r="L8" s="111">
        <f>VLOOKUP($A8,Alimentos!$A:$BA,12,FALSE)</f>
        <v>0</v>
      </c>
      <c r="M8" s="111">
        <f>VLOOKUP($A8,Alimentos!$A:$BA,13,FALSE)</f>
        <v>0</v>
      </c>
      <c r="N8" s="111">
        <f>VLOOKUP($A8,Alimentos!$A:$BA,14,FALSE)</f>
        <v>0</v>
      </c>
      <c r="O8" s="90">
        <f>VLOOKUP($A8,Alimentos!$A:$BA,15,FALSE)</f>
        <v>0</v>
      </c>
      <c r="P8" s="111">
        <f>VLOOKUP($A8,Alimentos!$A:$BA,16,FALSE)</f>
        <v>0</v>
      </c>
      <c r="Q8" s="111">
        <f>VLOOKUP($A8,Alimentos!$A:$BA,17,FALSE)</f>
        <v>0</v>
      </c>
      <c r="R8" s="111">
        <f>VLOOKUP($A8,Alimentos!$A:$BA,18,FALSE)</f>
        <v>0</v>
      </c>
      <c r="S8" s="111">
        <f>VLOOKUP($A8,Alimentos!$A:$BA,19,FALSE)</f>
        <v>0</v>
      </c>
      <c r="T8" s="111">
        <f>VLOOKUP($A8,Alimentos!$A:$BA,20,FALSE)</f>
        <v>0</v>
      </c>
      <c r="U8" s="111">
        <f>VLOOKUP($A8,Alimentos!$A:$BA,21,FALSE)</f>
        <v>0</v>
      </c>
      <c r="V8" s="111">
        <f>VLOOKUP($A8,Alimentos!$A:$BA,22,FALSE)</f>
        <v>0</v>
      </c>
      <c r="W8" s="112">
        <f>VLOOKUP($A8,Alimentos!$A:$BA,23,FALSE)</f>
        <v>0</v>
      </c>
      <c r="X8" s="112">
        <f>VLOOKUP($A8,Alimentos!$A:$BA,24,FALSE)</f>
        <v>0</v>
      </c>
      <c r="Y8" s="112">
        <f>VLOOKUP($A8,Alimentos!$A:$BA,25,FALSE)</f>
        <v>0</v>
      </c>
      <c r="Z8" s="112">
        <f>VLOOKUP($A8,Alimentos!$A:$BA,26,FALSE)</f>
        <v>0</v>
      </c>
      <c r="AA8" s="112">
        <f>VLOOKUP($A8,Alimentos!$A:$BA,27,FALSE)</f>
        <v>0</v>
      </c>
      <c r="AB8" s="112">
        <f>VLOOKUP($A8,Alimentos!$A:$BA,28,FALSE)</f>
        <v>0</v>
      </c>
      <c r="AC8" s="112">
        <f>VLOOKUP($A8,Alimentos!$A:$BA,29,FALSE)</f>
        <v>0</v>
      </c>
      <c r="AD8" s="112">
        <f>VLOOKUP($A8,Alimentos!$A:$BA,30,FALSE)</f>
        <v>0</v>
      </c>
      <c r="AE8" s="112">
        <f>VLOOKUP($A8,Alimentos!$A:$BA,31,FALSE)</f>
        <v>0</v>
      </c>
      <c r="AF8" s="113">
        <f>VLOOKUP($A8,Alimentos!$A:$BA,32,FALSE)</f>
        <v>0</v>
      </c>
      <c r="AG8" s="113">
        <f>VLOOKUP($A8,Alimentos!$A:$BA,33,FALSE)</f>
        <v>0</v>
      </c>
      <c r="AH8" s="113">
        <f>VLOOKUP($A8,Alimentos!$A:$BA,34,FALSE)</f>
        <v>0</v>
      </c>
      <c r="AI8" s="113">
        <f>VLOOKUP($A8,Alimentos!$A:$BA,35,FALSE)</f>
        <v>0</v>
      </c>
      <c r="AJ8" s="113">
        <f>VLOOKUP($A8,Alimentos!$A:$BA,36,FALSE)</f>
        <v>0</v>
      </c>
      <c r="AK8" s="113">
        <f>VLOOKUP($A8,Alimentos!$A:$BA,37,FALSE)</f>
        <v>0</v>
      </c>
      <c r="AL8" s="113">
        <f>VLOOKUP($A8,Alimentos!$A:$BA,38,FALSE)</f>
        <v>0</v>
      </c>
      <c r="AM8" s="113">
        <f>VLOOKUP($A8,Alimentos!$A:$BA,39,FALSE)</f>
        <v>0</v>
      </c>
      <c r="AN8" s="113">
        <f>VLOOKUP($A8,Alimentos!$A:$BA,40,FALSE)</f>
        <v>0</v>
      </c>
      <c r="AO8" s="113">
        <f>VLOOKUP($A8,Alimentos!$A:$BA,41,FALSE)</f>
        <v>0</v>
      </c>
      <c r="AP8" s="113">
        <f>VLOOKUP($A8,Alimentos!$A:$BA,42,FALSE)</f>
        <v>0</v>
      </c>
      <c r="AQ8" s="113">
        <f>VLOOKUP($A8,Alimentos!$A:$BA,43,FALSE)</f>
        <v>0</v>
      </c>
      <c r="AR8" s="113">
        <f>VLOOKUP($A8,Alimentos!$A:$BA,44,FALSE)</f>
        <v>0</v>
      </c>
      <c r="AS8" s="113">
        <f>VLOOKUP($A8,Alimentos!$A:$BA,45,FALSE)</f>
        <v>0</v>
      </c>
      <c r="AT8" s="218">
        <f>VLOOKUP($A8,Alimentos!$A:$BA,46,FALSE)</f>
        <v>0</v>
      </c>
      <c r="AU8" s="218">
        <f>VLOOKUP($A8,Alimentos!$A:$BA,47,FALSE)</f>
        <v>0</v>
      </c>
      <c r="AV8" s="218">
        <f>VLOOKUP($A8,Alimentos!$A:$BA,48,FALSE)</f>
        <v>0</v>
      </c>
      <c r="AW8" s="218">
        <f>VLOOKUP($A8,Alimentos!$A:$BA,49,FALSE)</f>
        <v>0</v>
      </c>
      <c r="AX8" s="218">
        <f>VLOOKUP($A8,Alimentos!$A:$BA,50,FALSE)</f>
        <v>0</v>
      </c>
      <c r="AY8" s="113">
        <f>VLOOKUP($A8,Alimentos!$A:$BA,51,FALSE)</f>
        <v>0</v>
      </c>
      <c r="AZ8" s="113">
        <f>VLOOKUP($A8,Alimentos!$A:$BA,52,FALSE)</f>
        <v>0</v>
      </c>
      <c r="BA8" s="113">
        <f>VLOOKUP($A8,Alimentos!$A:$BA,53,FALSE)</f>
        <v>0</v>
      </c>
      <c r="BB8" s="113">
        <f>VLOOKUP($A8,Alimentos!$A:$BC,54,FALSE)</f>
        <v>0</v>
      </c>
      <c r="BC8" s="113">
        <f>VLOOKUP($A8,Alimentos!$A:$BC,55,FALSE)</f>
        <v>0</v>
      </c>
    </row>
    <row r="9" spans="1:55" x14ac:dyDescent="0.25">
      <c r="A9" s="108" t="s">
        <v>60</v>
      </c>
      <c r="B9" s="109">
        <f>VLOOKUP($A9,Alimentos!$A:$BA,2,FALSE)</f>
        <v>0</v>
      </c>
      <c r="C9" s="114">
        <f>VLOOKUP($A9,Alimentos!$A:$BA,4,FALSE)</f>
        <v>0</v>
      </c>
      <c r="E9" s="111">
        <f>VLOOKUP($A9,Alimentos!$A:$BA,5,FALSE)</f>
        <v>0</v>
      </c>
      <c r="F9" s="111">
        <f>VLOOKUP($A9,Alimentos!$A:$BA,6,FALSE)</f>
        <v>0</v>
      </c>
      <c r="G9" s="111">
        <f>VLOOKUP($A9,Alimentos!$A:$BA,7,FALSE)</f>
        <v>0</v>
      </c>
      <c r="H9" s="111">
        <f>VLOOKUP($A9,Alimentos!$A:$BA,8,FALSE)</f>
        <v>0</v>
      </c>
      <c r="I9" s="111">
        <f>VLOOKUP($A9,Alimentos!$A:$BA,9,FALSE)</f>
        <v>0</v>
      </c>
      <c r="J9" s="111">
        <f>VLOOKUP($A9,Alimentos!$A:$BA,10,FALSE)</f>
        <v>0</v>
      </c>
      <c r="K9" s="111">
        <f>VLOOKUP($A9,Alimentos!$A:$BA,11,FALSE)</f>
        <v>0</v>
      </c>
      <c r="L9" s="111">
        <f>VLOOKUP($A9,Alimentos!$A:$BA,12,FALSE)</f>
        <v>0</v>
      </c>
      <c r="M9" s="111">
        <f>VLOOKUP($A9,Alimentos!$A:$BA,13,FALSE)</f>
        <v>0</v>
      </c>
      <c r="N9" s="111">
        <f>VLOOKUP($A9,Alimentos!$A:$BA,14,FALSE)</f>
        <v>0</v>
      </c>
      <c r="O9" s="90">
        <f>VLOOKUP($A9,Alimentos!$A:$BA,15,FALSE)</f>
        <v>0</v>
      </c>
      <c r="P9" s="111">
        <f>VLOOKUP($A9,Alimentos!$A:$BA,16,FALSE)</f>
        <v>0</v>
      </c>
      <c r="Q9" s="111">
        <f>VLOOKUP($A9,Alimentos!$A:$BA,17,FALSE)</f>
        <v>0</v>
      </c>
      <c r="R9" s="111">
        <f>VLOOKUP($A9,Alimentos!$A:$BA,18,FALSE)</f>
        <v>0</v>
      </c>
      <c r="S9" s="111">
        <f>VLOOKUP($A9,Alimentos!$A:$BA,19,FALSE)</f>
        <v>0</v>
      </c>
      <c r="T9" s="111">
        <f>VLOOKUP($A9,Alimentos!$A:$BA,20,FALSE)</f>
        <v>0</v>
      </c>
      <c r="U9" s="111">
        <f>VLOOKUP($A9,Alimentos!$A:$BA,21,FALSE)</f>
        <v>0</v>
      </c>
      <c r="V9" s="111">
        <f>VLOOKUP($A9,Alimentos!$A:$BA,22,FALSE)</f>
        <v>0</v>
      </c>
      <c r="W9" s="112">
        <f>VLOOKUP($A9,Alimentos!$A:$BA,23,FALSE)</f>
        <v>0</v>
      </c>
      <c r="X9" s="112">
        <f>VLOOKUP($A9,Alimentos!$A:$BA,24,FALSE)</f>
        <v>0</v>
      </c>
      <c r="Y9" s="112">
        <f>VLOOKUP($A9,Alimentos!$A:$BA,25,FALSE)</f>
        <v>0</v>
      </c>
      <c r="Z9" s="112">
        <f>VLOOKUP($A9,Alimentos!$A:$BA,26,FALSE)</f>
        <v>0</v>
      </c>
      <c r="AA9" s="112">
        <f>VLOOKUP($A9,Alimentos!$A:$BA,27,FALSE)</f>
        <v>0</v>
      </c>
      <c r="AB9" s="112">
        <f>VLOOKUP($A9,Alimentos!$A:$BA,28,FALSE)</f>
        <v>0</v>
      </c>
      <c r="AC9" s="112">
        <f>VLOOKUP($A9,Alimentos!$A:$BA,29,FALSE)</f>
        <v>0</v>
      </c>
      <c r="AD9" s="112">
        <f>VLOOKUP($A9,Alimentos!$A:$BA,30,FALSE)</f>
        <v>0</v>
      </c>
      <c r="AE9" s="112">
        <f>VLOOKUP($A9,Alimentos!$A:$BA,31,FALSE)</f>
        <v>0</v>
      </c>
      <c r="AF9" s="113">
        <f>VLOOKUP($A9,Alimentos!$A:$BA,32,FALSE)</f>
        <v>0</v>
      </c>
      <c r="AG9" s="113">
        <f>VLOOKUP($A9,Alimentos!$A:$BA,33,FALSE)</f>
        <v>0</v>
      </c>
      <c r="AH9" s="113">
        <f>VLOOKUP($A9,Alimentos!$A:$BA,34,FALSE)</f>
        <v>0</v>
      </c>
      <c r="AI9" s="113">
        <f>VLOOKUP($A9,Alimentos!$A:$BA,35,FALSE)</f>
        <v>0</v>
      </c>
      <c r="AJ9" s="113">
        <f>VLOOKUP($A9,Alimentos!$A:$BA,36,FALSE)</f>
        <v>0</v>
      </c>
      <c r="AK9" s="113">
        <f>VLOOKUP($A9,Alimentos!$A:$BA,37,FALSE)</f>
        <v>0</v>
      </c>
      <c r="AL9" s="113">
        <f>VLOOKUP($A9,Alimentos!$A:$BA,38,FALSE)</f>
        <v>0</v>
      </c>
      <c r="AM9" s="113">
        <f>VLOOKUP($A9,Alimentos!$A:$BA,39,FALSE)</f>
        <v>0</v>
      </c>
      <c r="AN9" s="113">
        <f>VLOOKUP($A9,Alimentos!$A:$BA,40,FALSE)</f>
        <v>0</v>
      </c>
      <c r="AO9" s="113">
        <f>VLOOKUP($A9,Alimentos!$A:$BA,41,FALSE)</f>
        <v>0</v>
      </c>
      <c r="AP9" s="113">
        <f>VLOOKUP($A9,Alimentos!$A:$BA,42,FALSE)</f>
        <v>0</v>
      </c>
      <c r="AQ9" s="113">
        <f>VLOOKUP($A9,Alimentos!$A:$BA,43,FALSE)</f>
        <v>0</v>
      </c>
      <c r="AR9" s="113">
        <f>VLOOKUP($A9,Alimentos!$A:$BA,44,FALSE)</f>
        <v>0</v>
      </c>
      <c r="AS9" s="113">
        <f>VLOOKUP($A9,Alimentos!$A:$BA,45,FALSE)</f>
        <v>0</v>
      </c>
      <c r="AT9" s="218">
        <f>VLOOKUP($A9,Alimentos!$A:$BA,46,FALSE)</f>
        <v>0</v>
      </c>
      <c r="AU9" s="218">
        <f>VLOOKUP($A9,Alimentos!$A:$BA,47,FALSE)</f>
        <v>0</v>
      </c>
      <c r="AV9" s="218">
        <f>VLOOKUP($A9,Alimentos!$A:$BA,48,FALSE)</f>
        <v>0</v>
      </c>
      <c r="AW9" s="218">
        <f>VLOOKUP($A9,Alimentos!$A:$BA,49,FALSE)</f>
        <v>0</v>
      </c>
      <c r="AX9" s="218">
        <f>VLOOKUP($A9,Alimentos!$A:$BA,50,FALSE)</f>
        <v>0</v>
      </c>
      <c r="AY9" s="113">
        <f>VLOOKUP($A9,Alimentos!$A:$BA,51,FALSE)</f>
        <v>0</v>
      </c>
      <c r="AZ9" s="113">
        <f>VLOOKUP($A9,Alimentos!$A:$BA,52,FALSE)</f>
        <v>0</v>
      </c>
      <c r="BA9" s="113">
        <f>VLOOKUP($A9,Alimentos!$A:$BA,53,FALSE)</f>
        <v>0</v>
      </c>
      <c r="BB9" s="113">
        <f>VLOOKUP($A9,Alimentos!$A:$BC,54,FALSE)</f>
        <v>0</v>
      </c>
      <c r="BC9" s="113">
        <f>VLOOKUP($A9,Alimentos!$A:$BC,55,FALSE)</f>
        <v>0</v>
      </c>
    </row>
    <row r="10" spans="1:55" x14ac:dyDescent="0.25">
      <c r="A10" s="108" t="s">
        <v>60</v>
      </c>
      <c r="B10" s="109">
        <f>VLOOKUP($A10,Alimentos!$A:$BA,2,FALSE)</f>
        <v>0</v>
      </c>
      <c r="C10" s="114">
        <f>VLOOKUP($A10,Alimentos!$A:$BA,4,FALSE)</f>
        <v>0</v>
      </c>
      <c r="E10" s="111">
        <f>VLOOKUP($A10,Alimentos!$A:$BA,5,FALSE)</f>
        <v>0</v>
      </c>
      <c r="F10" s="111">
        <f>VLOOKUP($A10,Alimentos!$A:$BA,6,FALSE)</f>
        <v>0</v>
      </c>
      <c r="G10" s="111">
        <f>VLOOKUP($A10,Alimentos!$A:$BA,7,FALSE)</f>
        <v>0</v>
      </c>
      <c r="H10" s="111">
        <f>VLOOKUP($A10,Alimentos!$A:$BA,8,FALSE)</f>
        <v>0</v>
      </c>
      <c r="I10" s="111">
        <f>VLOOKUP($A10,Alimentos!$A:$BA,9,FALSE)</f>
        <v>0</v>
      </c>
      <c r="J10" s="111">
        <f>VLOOKUP($A10,Alimentos!$A:$BA,10,FALSE)</f>
        <v>0</v>
      </c>
      <c r="K10" s="111">
        <f>VLOOKUP($A10,Alimentos!$A:$BA,11,FALSE)</f>
        <v>0</v>
      </c>
      <c r="L10" s="111">
        <f>VLOOKUP($A10,Alimentos!$A:$BA,12,FALSE)</f>
        <v>0</v>
      </c>
      <c r="M10" s="111">
        <f>VLOOKUP($A10,Alimentos!$A:$BA,13,FALSE)</f>
        <v>0</v>
      </c>
      <c r="N10" s="111">
        <f>VLOOKUP($A10,Alimentos!$A:$BA,14,FALSE)</f>
        <v>0</v>
      </c>
      <c r="O10" s="90">
        <f>VLOOKUP($A10,Alimentos!$A:$BA,15,FALSE)</f>
        <v>0</v>
      </c>
      <c r="P10" s="111">
        <f>VLOOKUP($A10,Alimentos!$A:$BA,16,FALSE)</f>
        <v>0</v>
      </c>
      <c r="Q10" s="111">
        <f>VLOOKUP($A10,Alimentos!$A:$BA,17,FALSE)</f>
        <v>0</v>
      </c>
      <c r="R10" s="111">
        <f>VLOOKUP($A10,Alimentos!$A:$BA,18,FALSE)</f>
        <v>0</v>
      </c>
      <c r="S10" s="111">
        <f>VLOOKUP($A10,Alimentos!$A:$BA,19,FALSE)</f>
        <v>0</v>
      </c>
      <c r="T10" s="111">
        <f>VLOOKUP($A10,Alimentos!$A:$BA,20,FALSE)</f>
        <v>0</v>
      </c>
      <c r="U10" s="111">
        <f>VLOOKUP($A10,Alimentos!$A:$BA,21,FALSE)</f>
        <v>0</v>
      </c>
      <c r="V10" s="111">
        <f>VLOOKUP($A10,Alimentos!$A:$BA,22,FALSE)</f>
        <v>0</v>
      </c>
      <c r="W10" s="112">
        <f>VLOOKUP($A10,Alimentos!$A:$BA,23,FALSE)</f>
        <v>0</v>
      </c>
      <c r="X10" s="112">
        <f>VLOOKUP($A10,Alimentos!$A:$BA,24,FALSE)</f>
        <v>0</v>
      </c>
      <c r="Y10" s="112">
        <f>VLOOKUP($A10,Alimentos!$A:$BA,25,FALSE)</f>
        <v>0</v>
      </c>
      <c r="Z10" s="112">
        <f>VLOOKUP($A10,Alimentos!$A:$BA,26,FALSE)</f>
        <v>0</v>
      </c>
      <c r="AA10" s="112">
        <f>VLOOKUP($A10,Alimentos!$A:$BA,27,FALSE)</f>
        <v>0</v>
      </c>
      <c r="AB10" s="112">
        <f>VLOOKUP($A10,Alimentos!$A:$BA,28,FALSE)</f>
        <v>0</v>
      </c>
      <c r="AC10" s="112">
        <f>VLOOKUP($A10,Alimentos!$A:$BA,29,FALSE)</f>
        <v>0</v>
      </c>
      <c r="AD10" s="112">
        <f>VLOOKUP($A10,Alimentos!$A:$BA,30,FALSE)</f>
        <v>0</v>
      </c>
      <c r="AE10" s="112">
        <f>VLOOKUP($A10,Alimentos!$A:$BA,31,FALSE)</f>
        <v>0</v>
      </c>
      <c r="AF10" s="113">
        <f>VLOOKUP($A10,Alimentos!$A:$BA,32,FALSE)</f>
        <v>0</v>
      </c>
      <c r="AG10" s="113">
        <f>VLOOKUP($A10,Alimentos!$A:$BA,33,FALSE)</f>
        <v>0</v>
      </c>
      <c r="AH10" s="113">
        <f>VLOOKUP($A10,Alimentos!$A:$BA,34,FALSE)</f>
        <v>0</v>
      </c>
      <c r="AI10" s="113">
        <f>VLOOKUP($A10,Alimentos!$A:$BA,35,FALSE)</f>
        <v>0</v>
      </c>
      <c r="AJ10" s="113">
        <f>VLOOKUP($A10,Alimentos!$A:$BA,36,FALSE)</f>
        <v>0</v>
      </c>
      <c r="AK10" s="113">
        <f>VLOOKUP($A10,Alimentos!$A:$BA,37,FALSE)</f>
        <v>0</v>
      </c>
      <c r="AL10" s="113">
        <f>VLOOKUP($A10,Alimentos!$A:$BA,38,FALSE)</f>
        <v>0</v>
      </c>
      <c r="AM10" s="113">
        <f>VLOOKUP($A10,Alimentos!$A:$BA,39,FALSE)</f>
        <v>0</v>
      </c>
      <c r="AN10" s="113">
        <f>VLOOKUP($A10,Alimentos!$A:$BA,40,FALSE)</f>
        <v>0</v>
      </c>
      <c r="AO10" s="113">
        <f>VLOOKUP($A10,Alimentos!$A:$BA,41,FALSE)</f>
        <v>0</v>
      </c>
      <c r="AP10" s="113">
        <f>VLOOKUP($A10,Alimentos!$A:$BA,42,FALSE)</f>
        <v>0</v>
      </c>
      <c r="AQ10" s="113">
        <f>VLOOKUP($A10,Alimentos!$A:$BA,43,FALSE)</f>
        <v>0</v>
      </c>
      <c r="AR10" s="113">
        <f>VLOOKUP($A10,Alimentos!$A:$BA,44,FALSE)</f>
        <v>0</v>
      </c>
      <c r="AS10" s="113">
        <f>VLOOKUP($A10,Alimentos!$A:$BA,45,FALSE)</f>
        <v>0</v>
      </c>
      <c r="AT10" s="218">
        <f>VLOOKUP($A10,Alimentos!$A:$BA,46,FALSE)</f>
        <v>0</v>
      </c>
      <c r="AU10" s="218">
        <f>VLOOKUP($A10,Alimentos!$A:$BA,47,FALSE)</f>
        <v>0</v>
      </c>
      <c r="AV10" s="218">
        <f>VLOOKUP($A10,Alimentos!$A:$BA,48,FALSE)</f>
        <v>0</v>
      </c>
      <c r="AW10" s="218">
        <f>VLOOKUP($A10,Alimentos!$A:$BA,49,FALSE)</f>
        <v>0</v>
      </c>
      <c r="AX10" s="218">
        <f>VLOOKUP($A10,Alimentos!$A:$BA,50,FALSE)</f>
        <v>0</v>
      </c>
      <c r="AY10" s="113">
        <f>VLOOKUP($A10,Alimentos!$A:$BA,51,FALSE)</f>
        <v>0</v>
      </c>
      <c r="AZ10" s="113">
        <f>VLOOKUP($A10,Alimentos!$A:$BA,52,FALSE)</f>
        <v>0</v>
      </c>
      <c r="BA10" s="113">
        <f>VLOOKUP($A10,Alimentos!$A:$BA,53,FALSE)</f>
        <v>0</v>
      </c>
      <c r="BB10" s="113">
        <f>VLOOKUP($A10,Alimentos!$A:$BC,54,FALSE)</f>
        <v>0</v>
      </c>
      <c r="BC10" s="113">
        <f>VLOOKUP($A10,Alimentos!$A:$BC,55,FALSE)</f>
        <v>0</v>
      </c>
    </row>
    <row r="11" spans="1:55" x14ac:dyDescent="0.25">
      <c r="A11" s="108" t="s">
        <v>60</v>
      </c>
      <c r="B11" s="109">
        <f>VLOOKUP($A11,Alimentos!$A:$BA,2,FALSE)</f>
        <v>0</v>
      </c>
      <c r="C11" s="114">
        <f>VLOOKUP($A11,Alimentos!$A:$BA,4,FALSE)</f>
        <v>0</v>
      </c>
      <c r="E11" s="111">
        <f>VLOOKUP($A11,Alimentos!$A:$BA,5,FALSE)</f>
        <v>0</v>
      </c>
      <c r="F11" s="111">
        <f>VLOOKUP($A11,Alimentos!$A:$BA,6,FALSE)</f>
        <v>0</v>
      </c>
      <c r="G11" s="111">
        <f>VLOOKUP($A11,Alimentos!$A:$BA,7,FALSE)</f>
        <v>0</v>
      </c>
      <c r="H11" s="111">
        <f>VLOOKUP($A11,Alimentos!$A:$BA,8,FALSE)</f>
        <v>0</v>
      </c>
      <c r="I11" s="111">
        <f>VLOOKUP($A11,Alimentos!$A:$BA,9,FALSE)</f>
        <v>0</v>
      </c>
      <c r="J11" s="111">
        <f>VLOOKUP($A11,Alimentos!$A:$BA,10,FALSE)</f>
        <v>0</v>
      </c>
      <c r="K11" s="111">
        <f>VLOOKUP($A11,Alimentos!$A:$BA,11,FALSE)</f>
        <v>0</v>
      </c>
      <c r="L11" s="111">
        <f>VLOOKUP($A11,Alimentos!$A:$BA,12,FALSE)</f>
        <v>0</v>
      </c>
      <c r="M11" s="111">
        <f>VLOOKUP($A11,Alimentos!$A:$BA,13,FALSE)</f>
        <v>0</v>
      </c>
      <c r="N11" s="111">
        <f>VLOOKUP($A11,Alimentos!$A:$BA,14,FALSE)</f>
        <v>0</v>
      </c>
      <c r="O11" s="90">
        <f>VLOOKUP($A11,Alimentos!$A:$BA,15,FALSE)</f>
        <v>0</v>
      </c>
      <c r="P11" s="111">
        <f>VLOOKUP($A11,Alimentos!$A:$BA,16,FALSE)</f>
        <v>0</v>
      </c>
      <c r="Q11" s="111">
        <f>VLOOKUP($A11,Alimentos!$A:$BA,17,FALSE)</f>
        <v>0</v>
      </c>
      <c r="R11" s="111">
        <f>VLOOKUP($A11,Alimentos!$A:$BA,18,FALSE)</f>
        <v>0</v>
      </c>
      <c r="S11" s="111">
        <f>VLOOKUP($A11,Alimentos!$A:$BA,19,FALSE)</f>
        <v>0</v>
      </c>
      <c r="T11" s="111">
        <f>VLOOKUP($A11,Alimentos!$A:$BA,20,FALSE)</f>
        <v>0</v>
      </c>
      <c r="U11" s="111">
        <f>VLOOKUP($A11,Alimentos!$A:$BA,21,FALSE)</f>
        <v>0</v>
      </c>
      <c r="V11" s="111">
        <f>VLOOKUP($A11,Alimentos!$A:$BA,22,FALSE)</f>
        <v>0</v>
      </c>
      <c r="W11" s="112">
        <f>VLOOKUP($A11,Alimentos!$A:$BA,23,FALSE)</f>
        <v>0</v>
      </c>
      <c r="X11" s="112">
        <f>VLOOKUP($A11,Alimentos!$A:$BA,24,FALSE)</f>
        <v>0</v>
      </c>
      <c r="Y11" s="112">
        <f>VLOOKUP($A11,Alimentos!$A:$BA,25,FALSE)</f>
        <v>0</v>
      </c>
      <c r="Z11" s="112">
        <f>VLOOKUP($A11,Alimentos!$A:$BA,26,FALSE)</f>
        <v>0</v>
      </c>
      <c r="AA11" s="112">
        <f>VLOOKUP($A11,Alimentos!$A:$BA,27,FALSE)</f>
        <v>0</v>
      </c>
      <c r="AB11" s="112">
        <f>VLOOKUP($A11,Alimentos!$A:$BA,28,FALSE)</f>
        <v>0</v>
      </c>
      <c r="AC11" s="112">
        <f>VLOOKUP($A11,Alimentos!$A:$BA,29,FALSE)</f>
        <v>0</v>
      </c>
      <c r="AD11" s="112">
        <f>VLOOKUP($A11,Alimentos!$A:$BA,30,FALSE)</f>
        <v>0</v>
      </c>
      <c r="AE11" s="112">
        <f>VLOOKUP($A11,Alimentos!$A:$BA,31,FALSE)</f>
        <v>0</v>
      </c>
      <c r="AF11" s="113">
        <f>VLOOKUP($A11,Alimentos!$A:$BA,32,FALSE)</f>
        <v>0</v>
      </c>
      <c r="AG11" s="113">
        <f>VLOOKUP($A11,Alimentos!$A:$BA,33,FALSE)</f>
        <v>0</v>
      </c>
      <c r="AH11" s="113">
        <f>VLOOKUP($A11,Alimentos!$A:$BA,34,FALSE)</f>
        <v>0</v>
      </c>
      <c r="AI11" s="113">
        <f>VLOOKUP($A11,Alimentos!$A:$BA,35,FALSE)</f>
        <v>0</v>
      </c>
      <c r="AJ11" s="113">
        <f>VLOOKUP($A11,Alimentos!$A:$BA,36,FALSE)</f>
        <v>0</v>
      </c>
      <c r="AK11" s="113">
        <f>VLOOKUP($A11,Alimentos!$A:$BA,37,FALSE)</f>
        <v>0</v>
      </c>
      <c r="AL11" s="113">
        <f>VLOOKUP($A11,Alimentos!$A:$BA,38,FALSE)</f>
        <v>0</v>
      </c>
      <c r="AM11" s="113">
        <f>VLOOKUP($A11,Alimentos!$A:$BA,39,FALSE)</f>
        <v>0</v>
      </c>
      <c r="AN11" s="113">
        <f>VLOOKUP($A11,Alimentos!$A:$BA,40,FALSE)</f>
        <v>0</v>
      </c>
      <c r="AO11" s="113">
        <f>VLOOKUP($A11,Alimentos!$A:$BA,41,FALSE)</f>
        <v>0</v>
      </c>
      <c r="AP11" s="113">
        <f>VLOOKUP($A11,Alimentos!$A:$BA,42,FALSE)</f>
        <v>0</v>
      </c>
      <c r="AQ11" s="113">
        <f>VLOOKUP($A11,Alimentos!$A:$BA,43,FALSE)</f>
        <v>0</v>
      </c>
      <c r="AR11" s="113">
        <f>VLOOKUP($A11,Alimentos!$A:$BA,44,FALSE)</f>
        <v>0</v>
      </c>
      <c r="AS11" s="113">
        <f>VLOOKUP($A11,Alimentos!$A:$BA,45,FALSE)</f>
        <v>0</v>
      </c>
      <c r="AT11" s="218">
        <f>VLOOKUP($A11,Alimentos!$A:$BA,46,FALSE)</f>
        <v>0</v>
      </c>
      <c r="AU11" s="218">
        <f>VLOOKUP($A11,Alimentos!$A:$BA,47,FALSE)</f>
        <v>0</v>
      </c>
      <c r="AV11" s="218">
        <f>VLOOKUP($A11,Alimentos!$A:$BA,48,FALSE)</f>
        <v>0</v>
      </c>
      <c r="AW11" s="218">
        <f>VLOOKUP($A11,Alimentos!$A:$BA,49,FALSE)</f>
        <v>0</v>
      </c>
      <c r="AX11" s="218">
        <f>VLOOKUP($A11,Alimentos!$A:$BA,50,FALSE)</f>
        <v>0</v>
      </c>
      <c r="AY11" s="113">
        <f>VLOOKUP($A11,Alimentos!$A:$BA,51,FALSE)</f>
        <v>0</v>
      </c>
      <c r="AZ11" s="113">
        <f>VLOOKUP($A11,Alimentos!$A:$BA,52,FALSE)</f>
        <v>0</v>
      </c>
      <c r="BA11" s="113">
        <f>VLOOKUP($A11,Alimentos!$A:$BA,53,FALSE)</f>
        <v>0</v>
      </c>
      <c r="BB11" s="113">
        <f>VLOOKUP($A11,Alimentos!$A:$BC,54,FALSE)</f>
        <v>0</v>
      </c>
      <c r="BC11" s="113">
        <f>VLOOKUP($A11,Alimentos!$A:$BC,55,FALSE)</f>
        <v>0</v>
      </c>
    </row>
    <row r="12" spans="1:55" x14ac:dyDescent="0.25">
      <c r="A12" s="108" t="s">
        <v>60</v>
      </c>
      <c r="B12" s="109">
        <f>VLOOKUP($A12,Alimentos!$A:$BA,2,FALSE)</f>
        <v>0</v>
      </c>
      <c r="C12" s="114">
        <f>VLOOKUP($A12,Alimentos!$A:$BA,4,FALSE)</f>
        <v>0</v>
      </c>
      <c r="E12" s="111">
        <f>VLOOKUP($A12,Alimentos!$A:$BA,5,FALSE)</f>
        <v>0</v>
      </c>
      <c r="F12" s="111">
        <f>VLOOKUP($A12,Alimentos!$A:$BA,6,FALSE)</f>
        <v>0</v>
      </c>
      <c r="G12" s="111">
        <f>VLOOKUP($A12,Alimentos!$A:$BA,7,FALSE)</f>
        <v>0</v>
      </c>
      <c r="H12" s="111">
        <f>VLOOKUP($A12,Alimentos!$A:$BA,8,FALSE)</f>
        <v>0</v>
      </c>
      <c r="I12" s="111">
        <f>VLOOKUP($A12,Alimentos!$A:$BA,9,FALSE)</f>
        <v>0</v>
      </c>
      <c r="J12" s="111">
        <f>VLOOKUP($A12,Alimentos!$A:$BA,10,FALSE)</f>
        <v>0</v>
      </c>
      <c r="K12" s="111">
        <f>VLOOKUP($A12,Alimentos!$A:$BA,11,FALSE)</f>
        <v>0</v>
      </c>
      <c r="L12" s="111">
        <f>VLOOKUP($A12,Alimentos!$A:$BA,12,FALSE)</f>
        <v>0</v>
      </c>
      <c r="M12" s="111">
        <f>VLOOKUP($A12,Alimentos!$A:$BA,13,FALSE)</f>
        <v>0</v>
      </c>
      <c r="N12" s="111">
        <f>VLOOKUP($A12,Alimentos!$A:$BA,14,FALSE)</f>
        <v>0</v>
      </c>
      <c r="O12" s="90">
        <f>VLOOKUP($A12,Alimentos!$A:$BA,15,FALSE)</f>
        <v>0</v>
      </c>
      <c r="P12" s="111">
        <f>VLOOKUP($A12,Alimentos!$A:$BA,16,FALSE)</f>
        <v>0</v>
      </c>
      <c r="Q12" s="111">
        <f>VLOOKUP($A12,Alimentos!$A:$BA,17,FALSE)</f>
        <v>0</v>
      </c>
      <c r="R12" s="111">
        <f>VLOOKUP($A12,Alimentos!$A:$BA,18,FALSE)</f>
        <v>0</v>
      </c>
      <c r="S12" s="111">
        <f>VLOOKUP($A12,Alimentos!$A:$BA,19,FALSE)</f>
        <v>0</v>
      </c>
      <c r="T12" s="111">
        <f>VLOOKUP($A12,Alimentos!$A:$BA,20,FALSE)</f>
        <v>0</v>
      </c>
      <c r="U12" s="111">
        <f>VLOOKUP($A12,Alimentos!$A:$BA,21,FALSE)</f>
        <v>0</v>
      </c>
      <c r="V12" s="111">
        <f>VLOOKUP($A12,Alimentos!$A:$BA,22,FALSE)</f>
        <v>0</v>
      </c>
      <c r="W12" s="112">
        <f>VLOOKUP($A12,Alimentos!$A:$BA,23,FALSE)</f>
        <v>0</v>
      </c>
      <c r="X12" s="112">
        <f>VLOOKUP($A12,Alimentos!$A:$BA,24,FALSE)</f>
        <v>0</v>
      </c>
      <c r="Y12" s="112">
        <f>VLOOKUP($A12,Alimentos!$A:$BA,25,FALSE)</f>
        <v>0</v>
      </c>
      <c r="Z12" s="112">
        <f>VLOOKUP($A12,Alimentos!$A:$BA,26,FALSE)</f>
        <v>0</v>
      </c>
      <c r="AA12" s="112">
        <f>VLOOKUP($A12,Alimentos!$A:$BA,27,FALSE)</f>
        <v>0</v>
      </c>
      <c r="AB12" s="112">
        <f>VLOOKUP($A12,Alimentos!$A:$BA,28,FALSE)</f>
        <v>0</v>
      </c>
      <c r="AC12" s="112">
        <f>VLOOKUP($A12,Alimentos!$A:$BA,29,FALSE)</f>
        <v>0</v>
      </c>
      <c r="AD12" s="112">
        <f>VLOOKUP($A12,Alimentos!$A:$BA,30,FALSE)</f>
        <v>0</v>
      </c>
      <c r="AE12" s="112">
        <f>VLOOKUP($A12,Alimentos!$A:$BA,31,FALSE)</f>
        <v>0</v>
      </c>
      <c r="AF12" s="113">
        <f>VLOOKUP($A12,Alimentos!$A:$BA,32,FALSE)</f>
        <v>0</v>
      </c>
      <c r="AG12" s="113">
        <f>VLOOKUP($A12,Alimentos!$A:$BA,33,FALSE)</f>
        <v>0</v>
      </c>
      <c r="AH12" s="113">
        <f>VLOOKUP($A12,Alimentos!$A:$BA,34,FALSE)</f>
        <v>0</v>
      </c>
      <c r="AI12" s="113">
        <f>VLOOKUP($A12,Alimentos!$A:$BA,35,FALSE)</f>
        <v>0</v>
      </c>
      <c r="AJ12" s="113">
        <f>VLOOKUP($A12,Alimentos!$A:$BA,36,FALSE)</f>
        <v>0</v>
      </c>
      <c r="AK12" s="113">
        <f>VLOOKUP($A12,Alimentos!$A:$BA,37,FALSE)</f>
        <v>0</v>
      </c>
      <c r="AL12" s="113">
        <f>VLOOKUP($A12,Alimentos!$A:$BA,38,FALSE)</f>
        <v>0</v>
      </c>
      <c r="AM12" s="113">
        <f>VLOOKUP($A12,Alimentos!$A:$BA,39,FALSE)</f>
        <v>0</v>
      </c>
      <c r="AN12" s="113">
        <f>VLOOKUP($A12,Alimentos!$A:$BA,40,FALSE)</f>
        <v>0</v>
      </c>
      <c r="AO12" s="113">
        <f>VLOOKUP($A12,Alimentos!$A:$BA,41,FALSE)</f>
        <v>0</v>
      </c>
      <c r="AP12" s="113">
        <f>VLOOKUP($A12,Alimentos!$A:$BA,42,FALSE)</f>
        <v>0</v>
      </c>
      <c r="AQ12" s="113">
        <f>VLOOKUP($A12,Alimentos!$A:$BA,43,FALSE)</f>
        <v>0</v>
      </c>
      <c r="AR12" s="113">
        <f>VLOOKUP($A12,Alimentos!$A:$BA,44,FALSE)</f>
        <v>0</v>
      </c>
      <c r="AS12" s="113">
        <f>VLOOKUP($A12,Alimentos!$A:$BA,45,FALSE)</f>
        <v>0</v>
      </c>
      <c r="AT12" s="218">
        <f>VLOOKUP($A12,Alimentos!$A:$BA,46,FALSE)</f>
        <v>0</v>
      </c>
      <c r="AU12" s="218">
        <f>VLOOKUP($A12,Alimentos!$A:$BA,47,FALSE)</f>
        <v>0</v>
      </c>
      <c r="AV12" s="218">
        <f>VLOOKUP($A12,Alimentos!$A:$BA,48,FALSE)</f>
        <v>0</v>
      </c>
      <c r="AW12" s="218">
        <f>VLOOKUP($A12,Alimentos!$A:$BA,49,FALSE)</f>
        <v>0</v>
      </c>
      <c r="AX12" s="218">
        <f>VLOOKUP($A12,Alimentos!$A:$BA,50,FALSE)</f>
        <v>0</v>
      </c>
      <c r="AY12" s="113">
        <f>VLOOKUP($A12,Alimentos!$A:$BA,51,FALSE)</f>
        <v>0</v>
      </c>
      <c r="AZ12" s="113">
        <f>VLOOKUP($A12,Alimentos!$A:$BA,52,FALSE)</f>
        <v>0</v>
      </c>
      <c r="BA12" s="113">
        <f>VLOOKUP($A12,Alimentos!$A:$BA,53,FALSE)</f>
        <v>0</v>
      </c>
      <c r="BB12" s="113">
        <f>VLOOKUP($A12,Alimentos!$A:$BC,54,FALSE)</f>
        <v>0</v>
      </c>
      <c r="BC12" s="113">
        <f>VLOOKUP($A12,Alimentos!$A:$BC,55,FALSE)</f>
        <v>0</v>
      </c>
    </row>
    <row r="13" spans="1:55" x14ac:dyDescent="0.25">
      <c r="A13" s="108" t="s">
        <v>60</v>
      </c>
      <c r="B13" s="109">
        <f>VLOOKUP($A13,Alimentos!$A:$BA,2,FALSE)</f>
        <v>0</v>
      </c>
      <c r="C13" s="114">
        <f>VLOOKUP($A13,Alimentos!$A:$BA,4,FALSE)</f>
        <v>0</v>
      </c>
      <c r="E13" s="111">
        <f>VLOOKUP($A13,Alimentos!$A:$BA,5,FALSE)</f>
        <v>0</v>
      </c>
      <c r="F13" s="111">
        <f>VLOOKUP($A13,Alimentos!$A:$BA,6,FALSE)</f>
        <v>0</v>
      </c>
      <c r="G13" s="111">
        <f>VLOOKUP($A13,Alimentos!$A:$BA,7,FALSE)</f>
        <v>0</v>
      </c>
      <c r="H13" s="111">
        <f>VLOOKUP($A13,Alimentos!$A:$BA,8,FALSE)</f>
        <v>0</v>
      </c>
      <c r="I13" s="111">
        <f>VLOOKUP($A13,Alimentos!$A:$BA,9,FALSE)</f>
        <v>0</v>
      </c>
      <c r="J13" s="111">
        <f>VLOOKUP($A13,Alimentos!$A:$BA,10,FALSE)</f>
        <v>0</v>
      </c>
      <c r="K13" s="111">
        <f>VLOOKUP($A13,Alimentos!$A:$BA,11,FALSE)</f>
        <v>0</v>
      </c>
      <c r="L13" s="111">
        <f>VLOOKUP($A13,Alimentos!$A:$BA,12,FALSE)</f>
        <v>0</v>
      </c>
      <c r="M13" s="111">
        <f>VLOOKUP($A13,Alimentos!$A:$BA,13,FALSE)</f>
        <v>0</v>
      </c>
      <c r="N13" s="111">
        <f>VLOOKUP($A13,Alimentos!$A:$BA,14,FALSE)</f>
        <v>0</v>
      </c>
      <c r="O13" s="90">
        <f>VLOOKUP($A13,Alimentos!$A:$BA,15,FALSE)</f>
        <v>0</v>
      </c>
      <c r="P13" s="111">
        <f>VLOOKUP($A13,Alimentos!$A:$BA,16,FALSE)</f>
        <v>0</v>
      </c>
      <c r="Q13" s="111">
        <f>VLOOKUP($A13,Alimentos!$A:$BA,17,FALSE)</f>
        <v>0</v>
      </c>
      <c r="R13" s="111">
        <f>VLOOKUP($A13,Alimentos!$A:$BA,18,FALSE)</f>
        <v>0</v>
      </c>
      <c r="S13" s="111">
        <f>VLOOKUP($A13,Alimentos!$A:$BA,19,FALSE)</f>
        <v>0</v>
      </c>
      <c r="T13" s="111">
        <f>VLOOKUP($A13,Alimentos!$A:$BA,20,FALSE)</f>
        <v>0</v>
      </c>
      <c r="U13" s="111">
        <f>VLOOKUP($A13,Alimentos!$A:$BA,21,FALSE)</f>
        <v>0</v>
      </c>
      <c r="V13" s="111">
        <f>VLOOKUP($A13,Alimentos!$A:$BA,22,FALSE)</f>
        <v>0</v>
      </c>
      <c r="W13" s="112">
        <f>VLOOKUP($A13,Alimentos!$A:$BA,23,FALSE)</f>
        <v>0</v>
      </c>
      <c r="X13" s="112">
        <f>VLOOKUP($A13,Alimentos!$A:$BA,24,FALSE)</f>
        <v>0</v>
      </c>
      <c r="Y13" s="112">
        <f>VLOOKUP($A13,Alimentos!$A:$BA,25,FALSE)</f>
        <v>0</v>
      </c>
      <c r="Z13" s="112">
        <f>VLOOKUP($A13,Alimentos!$A:$BA,26,FALSE)</f>
        <v>0</v>
      </c>
      <c r="AA13" s="112">
        <f>VLOOKUP($A13,Alimentos!$A:$BA,27,FALSE)</f>
        <v>0</v>
      </c>
      <c r="AB13" s="112">
        <f>VLOOKUP($A13,Alimentos!$A:$BA,28,FALSE)</f>
        <v>0</v>
      </c>
      <c r="AC13" s="112">
        <f>VLOOKUP($A13,Alimentos!$A:$BA,29,FALSE)</f>
        <v>0</v>
      </c>
      <c r="AD13" s="112">
        <f>VLOOKUP($A13,Alimentos!$A:$BA,30,FALSE)</f>
        <v>0</v>
      </c>
      <c r="AE13" s="112">
        <f>VLOOKUP($A13,Alimentos!$A:$BA,31,FALSE)</f>
        <v>0</v>
      </c>
      <c r="AF13" s="113">
        <f>VLOOKUP($A13,Alimentos!$A:$BA,32,FALSE)</f>
        <v>0</v>
      </c>
      <c r="AG13" s="113">
        <f>VLOOKUP($A13,Alimentos!$A:$BA,33,FALSE)</f>
        <v>0</v>
      </c>
      <c r="AH13" s="113">
        <f>VLOOKUP($A13,Alimentos!$A:$BA,34,FALSE)</f>
        <v>0</v>
      </c>
      <c r="AI13" s="113">
        <f>VLOOKUP($A13,Alimentos!$A:$BA,35,FALSE)</f>
        <v>0</v>
      </c>
      <c r="AJ13" s="113">
        <f>VLOOKUP($A13,Alimentos!$A:$BA,36,FALSE)</f>
        <v>0</v>
      </c>
      <c r="AK13" s="113">
        <f>VLOOKUP($A13,Alimentos!$A:$BA,37,FALSE)</f>
        <v>0</v>
      </c>
      <c r="AL13" s="113">
        <f>VLOOKUP($A13,Alimentos!$A:$BA,38,FALSE)</f>
        <v>0</v>
      </c>
      <c r="AM13" s="115">
        <f>VLOOKUP($A13,Alimentos!$A:$BA,39,FALSE)</f>
        <v>0</v>
      </c>
      <c r="AN13" s="115">
        <f>VLOOKUP($A13,Alimentos!$A:$BA,40,FALSE)</f>
        <v>0</v>
      </c>
      <c r="AO13" s="115">
        <f>VLOOKUP($A13,Alimentos!$A:$BA,41,FALSE)</f>
        <v>0</v>
      </c>
      <c r="AP13" s="113">
        <f>VLOOKUP($A13,Alimentos!$A:$BA,42,FALSE)</f>
        <v>0</v>
      </c>
      <c r="AQ13" s="113">
        <f>VLOOKUP($A13,Alimentos!$A:$BA,43,FALSE)</f>
        <v>0</v>
      </c>
      <c r="AR13" s="113">
        <f>VLOOKUP($A13,Alimentos!$A:$BA,44,FALSE)</f>
        <v>0</v>
      </c>
      <c r="AS13" s="113">
        <f>VLOOKUP($A13,Alimentos!$A:$BA,45,FALSE)</f>
        <v>0</v>
      </c>
      <c r="AT13" s="218">
        <f>VLOOKUP($A13,Alimentos!$A:$BA,46,FALSE)</f>
        <v>0</v>
      </c>
      <c r="AU13" s="218">
        <f>VLOOKUP($A13,Alimentos!$A:$BA,47,FALSE)</f>
        <v>0</v>
      </c>
      <c r="AV13" s="218">
        <f>VLOOKUP($A13,Alimentos!$A:$BA,48,FALSE)</f>
        <v>0</v>
      </c>
      <c r="AW13" s="218">
        <f>VLOOKUP($A13,Alimentos!$A:$BA,49,FALSE)</f>
        <v>0</v>
      </c>
      <c r="AX13" s="218">
        <f>VLOOKUP($A13,Alimentos!$A:$BA,50,FALSE)</f>
        <v>0</v>
      </c>
      <c r="AY13" s="113">
        <f>VLOOKUP($A13,Alimentos!$A:$BA,51,FALSE)</f>
        <v>0</v>
      </c>
      <c r="AZ13" s="113">
        <f>VLOOKUP($A13,Alimentos!$A:$BA,52,FALSE)</f>
        <v>0</v>
      </c>
      <c r="BA13" s="113">
        <f>VLOOKUP($A13,Alimentos!$A:$BA,53,FALSE)</f>
        <v>0</v>
      </c>
      <c r="BB13" s="113">
        <f>VLOOKUP($A13,Alimentos!$A:$BC,54,FALSE)</f>
        <v>0</v>
      </c>
      <c r="BC13" s="113">
        <f>VLOOKUP($A13,Alimentos!$A:$BC,55,FALSE)</f>
        <v>0</v>
      </c>
    </row>
    <row r="14" spans="1:55" x14ac:dyDescent="0.25">
      <c r="A14" s="108" t="s">
        <v>60</v>
      </c>
      <c r="B14" s="109">
        <f>VLOOKUP($A14,Alimentos!$A:$BA,2,FALSE)</f>
        <v>0</v>
      </c>
      <c r="C14" s="114">
        <f>VLOOKUP($A14,Alimentos!$A:$BA,4,FALSE)</f>
        <v>0</v>
      </c>
      <c r="E14" s="111">
        <f>VLOOKUP($A14,Alimentos!$A:$BA,5,FALSE)</f>
        <v>0</v>
      </c>
      <c r="F14" s="111">
        <f>VLOOKUP($A14,Alimentos!$A:$BA,6,FALSE)</f>
        <v>0</v>
      </c>
      <c r="G14" s="111">
        <f>VLOOKUP($A14,Alimentos!$A:$BA,7,FALSE)</f>
        <v>0</v>
      </c>
      <c r="H14" s="111">
        <f>VLOOKUP($A14,Alimentos!$A:$BA,8,FALSE)</f>
        <v>0</v>
      </c>
      <c r="I14" s="111">
        <f>VLOOKUP($A14,Alimentos!$A:$BA,9,FALSE)</f>
        <v>0</v>
      </c>
      <c r="J14" s="111">
        <f>VLOOKUP($A14,Alimentos!$A:$BA,10,FALSE)</f>
        <v>0</v>
      </c>
      <c r="K14" s="111">
        <f>VLOOKUP($A14,Alimentos!$A:$BA,11,FALSE)</f>
        <v>0</v>
      </c>
      <c r="L14" s="111">
        <f>VLOOKUP($A14,Alimentos!$A:$BA,12,FALSE)</f>
        <v>0</v>
      </c>
      <c r="M14" s="111">
        <f>VLOOKUP($A14,Alimentos!$A:$BA,13,FALSE)</f>
        <v>0</v>
      </c>
      <c r="N14" s="111">
        <f>VLOOKUP($A14,Alimentos!$A:$BA,14,FALSE)</f>
        <v>0</v>
      </c>
      <c r="O14" s="90">
        <f>VLOOKUP($A14,Alimentos!$A:$BA,15,FALSE)</f>
        <v>0</v>
      </c>
      <c r="P14" s="111">
        <f>VLOOKUP($A14,Alimentos!$A:$BA,16,FALSE)</f>
        <v>0</v>
      </c>
      <c r="Q14" s="111">
        <f>VLOOKUP($A14,Alimentos!$A:$BA,17,FALSE)</f>
        <v>0</v>
      </c>
      <c r="R14" s="111">
        <f>VLOOKUP($A14,Alimentos!$A:$BA,18,FALSE)</f>
        <v>0</v>
      </c>
      <c r="S14" s="111">
        <f>VLOOKUP($A14,Alimentos!$A:$BA,19,FALSE)</f>
        <v>0</v>
      </c>
      <c r="T14" s="111">
        <f>VLOOKUP($A14,Alimentos!$A:$BA,20,FALSE)</f>
        <v>0</v>
      </c>
      <c r="U14" s="111">
        <f>VLOOKUP($A14,Alimentos!$A:$BA,21,FALSE)</f>
        <v>0</v>
      </c>
      <c r="V14" s="111">
        <f>VLOOKUP($A14,Alimentos!$A:$BA,22,FALSE)</f>
        <v>0</v>
      </c>
      <c r="W14" s="112">
        <f>VLOOKUP($A14,Alimentos!$A:$BA,23,FALSE)</f>
        <v>0</v>
      </c>
      <c r="X14" s="112">
        <f>VLOOKUP($A14,Alimentos!$A:$BA,24,FALSE)</f>
        <v>0</v>
      </c>
      <c r="Y14" s="112">
        <f>VLOOKUP($A14,Alimentos!$A:$BA,25,FALSE)</f>
        <v>0</v>
      </c>
      <c r="Z14" s="112">
        <f>VLOOKUP($A14,Alimentos!$A:$BA,26,FALSE)</f>
        <v>0</v>
      </c>
      <c r="AA14" s="112">
        <f>VLOOKUP($A14,Alimentos!$A:$BA,27,FALSE)</f>
        <v>0</v>
      </c>
      <c r="AB14" s="112">
        <f>VLOOKUP($A14,Alimentos!$A:$BA,28,FALSE)</f>
        <v>0</v>
      </c>
      <c r="AC14" s="112">
        <f>VLOOKUP($A14,Alimentos!$A:$BA,29,FALSE)</f>
        <v>0</v>
      </c>
      <c r="AD14" s="112">
        <f>VLOOKUP($A14,Alimentos!$A:$BA,30,FALSE)</f>
        <v>0</v>
      </c>
      <c r="AE14" s="112">
        <f>VLOOKUP($A14,Alimentos!$A:$BA,31,FALSE)</f>
        <v>0</v>
      </c>
      <c r="AF14" s="113">
        <f>VLOOKUP($A14,Alimentos!$A:$BA,32,FALSE)</f>
        <v>0</v>
      </c>
      <c r="AG14" s="113">
        <f>VLOOKUP($A14,Alimentos!$A:$BA,33,FALSE)</f>
        <v>0</v>
      </c>
      <c r="AH14" s="113">
        <f>VLOOKUP($A14,Alimentos!$A:$BA,34,FALSE)</f>
        <v>0</v>
      </c>
      <c r="AI14" s="113">
        <f>VLOOKUP($A14,Alimentos!$A:$BA,35,FALSE)</f>
        <v>0</v>
      </c>
      <c r="AJ14" s="113">
        <f>VLOOKUP($A14,Alimentos!$A:$BA,36,FALSE)</f>
        <v>0</v>
      </c>
      <c r="AK14" s="113">
        <f>VLOOKUP($A14,Alimentos!$A:$BA,37,FALSE)</f>
        <v>0</v>
      </c>
      <c r="AL14" s="113">
        <f>VLOOKUP($A14,Alimentos!$A:$BA,38,FALSE)</f>
        <v>0</v>
      </c>
      <c r="AM14" s="113">
        <f>VLOOKUP($A14,Alimentos!$A:$BA,39,FALSE)</f>
        <v>0</v>
      </c>
      <c r="AN14" s="113">
        <f>VLOOKUP($A14,Alimentos!$A:$BA,40,FALSE)</f>
        <v>0</v>
      </c>
      <c r="AO14" s="113">
        <f>VLOOKUP($A14,Alimentos!$A:$BA,41,FALSE)</f>
        <v>0</v>
      </c>
      <c r="AP14" s="113">
        <f>VLOOKUP($A14,Alimentos!$A:$BA,42,FALSE)</f>
        <v>0</v>
      </c>
      <c r="AQ14" s="113">
        <f>VLOOKUP($A14,Alimentos!$A:$BA,43,FALSE)</f>
        <v>0</v>
      </c>
      <c r="AR14" s="113">
        <f>VLOOKUP($A14,Alimentos!$A:$BA,44,FALSE)</f>
        <v>0</v>
      </c>
      <c r="AS14" s="113">
        <f>VLOOKUP($A14,Alimentos!$A:$BA,45,FALSE)</f>
        <v>0</v>
      </c>
      <c r="AT14" s="218">
        <f>VLOOKUP($A14,Alimentos!$A:$BA,46,FALSE)</f>
        <v>0</v>
      </c>
      <c r="AU14" s="218">
        <f>VLOOKUP($A14,Alimentos!$A:$BA,47,FALSE)</f>
        <v>0</v>
      </c>
      <c r="AV14" s="218">
        <f>VLOOKUP($A14,Alimentos!$A:$BA,48,FALSE)</f>
        <v>0</v>
      </c>
      <c r="AW14" s="218">
        <f>VLOOKUP($A14,Alimentos!$A:$BA,49,FALSE)</f>
        <v>0</v>
      </c>
      <c r="AX14" s="218">
        <f>VLOOKUP($A14,Alimentos!$A:$BA,50,FALSE)</f>
        <v>0</v>
      </c>
      <c r="AY14" s="113">
        <f>VLOOKUP($A14,Alimentos!$A:$BA,51,FALSE)</f>
        <v>0</v>
      </c>
      <c r="AZ14" s="113">
        <f>VLOOKUP($A14,Alimentos!$A:$BA,52,FALSE)</f>
        <v>0</v>
      </c>
      <c r="BA14" s="113">
        <f>VLOOKUP($A14,Alimentos!$A:$BA,53,FALSE)</f>
        <v>0</v>
      </c>
      <c r="BB14" s="113">
        <f>VLOOKUP($A14,Alimentos!$A:$BC,54,FALSE)</f>
        <v>0</v>
      </c>
      <c r="BC14" s="113">
        <f>VLOOKUP($A14,Alimentos!$A:$BC,55,FALSE)</f>
        <v>0</v>
      </c>
    </row>
    <row r="15" spans="1:55" x14ac:dyDescent="0.25">
      <c r="A15" s="108" t="s">
        <v>60</v>
      </c>
      <c r="B15" s="109">
        <f>VLOOKUP($A15,Alimentos!$A:$BA,2,FALSE)</f>
        <v>0</v>
      </c>
      <c r="C15" s="114">
        <f>VLOOKUP($A15,Alimentos!$A:$BA,4,FALSE)</f>
        <v>0</v>
      </c>
      <c r="E15" s="111">
        <f>VLOOKUP($A15,Alimentos!$A:$BA,5,FALSE)</f>
        <v>0</v>
      </c>
      <c r="F15" s="111">
        <f>VLOOKUP($A15,Alimentos!$A:$BA,6,FALSE)</f>
        <v>0</v>
      </c>
      <c r="G15" s="111">
        <f>VLOOKUP($A15,Alimentos!$A:$BA,7,FALSE)</f>
        <v>0</v>
      </c>
      <c r="H15" s="111">
        <f>VLOOKUP($A15,Alimentos!$A:$BA,8,FALSE)</f>
        <v>0</v>
      </c>
      <c r="I15" s="111">
        <f>VLOOKUP($A15,Alimentos!$A:$BA,9,FALSE)</f>
        <v>0</v>
      </c>
      <c r="J15" s="111">
        <f>VLOOKUP($A15,Alimentos!$A:$BA,10,FALSE)</f>
        <v>0</v>
      </c>
      <c r="K15" s="111">
        <f>VLOOKUP($A15,Alimentos!$A:$BA,11,FALSE)</f>
        <v>0</v>
      </c>
      <c r="L15" s="111">
        <f>VLOOKUP($A15,Alimentos!$A:$BA,12,FALSE)</f>
        <v>0</v>
      </c>
      <c r="M15" s="111">
        <f>VLOOKUP($A15,Alimentos!$A:$BA,13,FALSE)</f>
        <v>0</v>
      </c>
      <c r="N15" s="111">
        <f>VLOOKUP($A15,Alimentos!$A:$BA,14,FALSE)</f>
        <v>0</v>
      </c>
      <c r="O15" s="90">
        <f>VLOOKUP($A15,Alimentos!$A:$BA,15,FALSE)</f>
        <v>0</v>
      </c>
      <c r="P15" s="111">
        <f>VLOOKUP($A15,Alimentos!$A:$BA,16,FALSE)</f>
        <v>0</v>
      </c>
      <c r="Q15" s="111">
        <f>VLOOKUP($A15,Alimentos!$A:$BA,17,FALSE)</f>
        <v>0</v>
      </c>
      <c r="R15" s="111">
        <f>VLOOKUP($A15,Alimentos!$A:$BA,18,FALSE)</f>
        <v>0</v>
      </c>
      <c r="S15" s="111">
        <f>VLOOKUP($A15,Alimentos!$A:$BA,19,FALSE)</f>
        <v>0</v>
      </c>
      <c r="T15" s="111">
        <f>VLOOKUP($A15,Alimentos!$A:$BA,20,FALSE)</f>
        <v>0</v>
      </c>
      <c r="U15" s="111">
        <f>VLOOKUP($A15,Alimentos!$A:$BA,21,FALSE)</f>
        <v>0</v>
      </c>
      <c r="V15" s="111">
        <f>VLOOKUP($A15,Alimentos!$A:$BA,22,FALSE)</f>
        <v>0</v>
      </c>
      <c r="W15" s="112">
        <f>VLOOKUP($A15,Alimentos!$A:$BA,23,FALSE)</f>
        <v>0</v>
      </c>
      <c r="X15" s="112">
        <f>VLOOKUP($A15,Alimentos!$A:$BA,24,FALSE)</f>
        <v>0</v>
      </c>
      <c r="Y15" s="112">
        <f>VLOOKUP($A15,Alimentos!$A:$BA,25,FALSE)</f>
        <v>0</v>
      </c>
      <c r="Z15" s="112">
        <f>VLOOKUP($A15,Alimentos!$A:$BA,26,FALSE)</f>
        <v>0</v>
      </c>
      <c r="AA15" s="112">
        <f>VLOOKUP($A15,Alimentos!$A:$BA,27,FALSE)</f>
        <v>0</v>
      </c>
      <c r="AB15" s="112">
        <f>VLOOKUP($A15,Alimentos!$A:$BA,28,FALSE)</f>
        <v>0</v>
      </c>
      <c r="AC15" s="112">
        <f>VLOOKUP($A15,Alimentos!$A:$BA,29,FALSE)</f>
        <v>0</v>
      </c>
      <c r="AD15" s="112">
        <f>VLOOKUP($A15,Alimentos!$A:$BA,30,FALSE)</f>
        <v>0</v>
      </c>
      <c r="AE15" s="112">
        <f>VLOOKUP($A15,Alimentos!$A:$BA,31,FALSE)</f>
        <v>0</v>
      </c>
      <c r="AF15" s="113">
        <f>VLOOKUP($A15,Alimentos!$A:$BA,32,FALSE)</f>
        <v>0</v>
      </c>
      <c r="AG15" s="113">
        <f>VLOOKUP($A15,Alimentos!$A:$BA,33,FALSE)</f>
        <v>0</v>
      </c>
      <c r="AH15" s="113">
        <f>VLOOKUP($A15,Alimentos!$A:$BA,34,FALSE)</f>
        <v>0</v>
      </c>
      <c r="AI15" s="113">
        <f>VLOOKUP($A15,Alimentos!$A:$BA,35,FALSE)</f>
        <v>0</v>
      </c>
      <c r="AJ15" s="113">
        <f>VLOOKUP($A15,Alimentos!$A:$BA,36,FALSE)</f>
        <v>0</v>
      </c>
      <c r="AK15" s="113">
        <f>VLOOKUP($A15,Alimentos!$A:$BA,37,FALSE)</f>
        <v>0</v>
      </c>
      <c r="AL15" s="113">
        <f>VLOOKUP($A15,Alimentos!$A:$BA,38,FALSE)</f>
        <v>0</v>
      </c>
      <c r="AM15" s="113">
        <f>VLOOKUP($A15,Alimentos!$A:$BA,39,FALSE)</f>
        <v>0</v>
      </c>
      <c r="AN15" s="113">
        <f>VLOOKUP($A15,Alimentos!$A:$BA,40,FALSE)</f>
        <v>0</v>
      </c>
      <c r="AO15" s="113">
        <f>VLOOKUP($A15,Alimentos!$A:$BA,41,FALSE)</f>
        <v>0</v>
      </c>
      <c r="AP15" s="113">
        <f>VLOOKUP($A15,Alimentos!$A:$BA,42,FALSE)</f>
        <v>0</v>
      </c>
      <c r="AQ15" s="113">
        <f>VLOOKUP($A15,Alimentos!$A:$BA,43,FALSE)</f>
        <v>0</v>
      </c>
      <c r="AR15" s="113">
        <f>VLOOKUP($A15,Alimentos!$A:$BA,44,FALSE)</f>
        <v>0</v>
      </c>
      <c r="AS15" s="113">
        <f>VLOOKUP($A15,Alimentos!$A:$BA,45,FALSE)</f>
        <v>0</v>
      </c>
      <c r="AT15" s="218">
        <f>VLOOKUP($A15,Alimentos!$A:$BA,46,FALSE)</f>
        <v>0</v>
      </c>
      <c r="AU15" s="218">
        <f>VLOOKUP($A15,Alimentos!$A:$BA,47,FALSE)</f>
        <v>0</v>
      </c>
      <c r="AV15" s="218">
        <f>VLOOKUP($A15,Alimentos!$A:$BA,48,FALSE)</f>
        <v>0</v>
      </c>
      <c r="AW15" s="218">
        <f>VLOOKUP($A15,Alimentos!$A:$BA,49,FALSE)</f>
        <v>0</v>
      </c>
      <c r="AX15" s="218">
        <f>VLOOKUP($A15,Alimentos!$A:$BA,50,FALSE)</f>
        <v>0</v>
      </c>
      <c r="AY15" s="113">
        <f>VLOOKUP($A15,Alimentos!$A:$BA,51,FALSE)</f>
        <v>0</v>
      </c>
      <c r="AZ15" s="113">
        <f>VLOOKUP($A15,Alimentos!$A:$BA,52,FALSE)</f>
        <v>0</v>
      </c>
      <c r="BA15" s="113">
        <f>VLOOKUP($A15,Alimentos!$A:$BA,53,FALSE)</f>
        <v>0</v>
      </c>
      <c r="BB15" s="113">
        <f>VLOOKUP($A15,Alimentos!$A:$BC,54,FALSE)</f>
        <v>0</v>
      </c>
      <c r="BC15" s="113">
        <f>VLOOKUP($A15,Alimentos!$A:$BC,55,FALSE)</f>
        <v>0</v>
      </c>
    </row>
    <row r="16" spans="1:55" x14ac:dyDescent="0.25">
      <c r="A16" s="108" t="s">
        <v>60</v>
      </c>
      <c r="B16" s="109">
        <f>VLOOKUP($A16,Alimentos!$A:$BA,2,FALSE)</f>
        <v>0</v>
      </c>
      <c r="C16" s="114">
        <f>VLOOKUP($A16,Alimentos!$A:$BA,4,FALSE)</f>
        <v>0</v>
      </c>
      <c r="E16" s="111">
        <f>VLOOKUP($A16,Alimentos!$A:$BA,5,FALSE)</f>
        <v>0</v>
      </c>
      <c r="F16" s="111">
        <f>VLOOKUP($A16,Alimentos!$A:$BA,6,FALSE)</f>
        <v>0</v>
      </c>
      <c r="G16" s="111">
        <f>VLOOKUP($A16,Alimentos!$A:$BA,7,FALSE)</f>
        <v>0</v>
      </c>
      <c r="H16" s="111">
        <f>VLOOKUP($A16,Alimentos!$A:$BA,8,FALSE)</f>
        <v>0</v>
      </c>
      <c r="I16" s="111">
        <f>VLOOKUP($A16,Alimentos!$A:$BA,9,FALSE)</f>
        <v>0</v>
      </c>
      <c r="J16" s="111">
        <f>VLOOKUP($A16,Alimentos!$A:$BA,10,FALSE)</f>
        <v>0</v>
      </c>
      <c r="K16" s="111">
        <f>VLOOKUP($A16,Alimentos!$A:$BA,11,FALSE)</f>
        <v>0</v>
      </c>
      <c r="L16" s="111">
        <f>VLOOKUP($A16,Alimentos!$A:$BA,12,FALSE)</f>
        <v>0</v>
      </c>
      <c r="M16" s="111">
        <f>VLOOKUP($A16,Alimentos!$A:$BA,13,FALSE)</f>
        <v>0</v>
      </c>
      <c r="N16" s="111">
        <f>VLOOKUP($A16,Alimentos!$A:$BA,14,FALSE)</f>
        <v>0</v>
      </c>
      <c r="O16" s="90">
        <f>VLOOKUP($A16,Alimentos!$A:$BA,15,FALSE)</f>
        <v>0</v>
      </c>
      <c r="P16" s="111">
        <f>VLOOKUP($A16,Alimentos!$A:$BA,16,FALSE)</f>
        <v>0</v>
      </c>
      <c r="Q16" s="111">
        <f>VLOOKUP($A16,Alimentos!$A:$BA,17,FALSE)</f>
        <v>0</v>
      </c>
      <c r="R16" s="111">
        <f>VLOOKUP($A16,Alimentos!$A:$BA,18,FALSE)</f>
        <v>0</v>
      </c>
      <c r="S16" s="111">
        <f>VLOOKUP($A16,Alimentos!$A:$BA,19,FALSE)</f>
        <v>0</v>
      </c>
      <c r="T16" s="111">
        <f>VLOOKUP($A16,Alimentos!$A:$BA,20,FALSE)</f>
        <v>0</v>
      </c>
      <c r="U16" s="111">
        <f>VLOOKUP($A16,Alimentos!$A:$BA,21,FALSE)</f>
        <v>0</v>
      </c>
      <c r="V16" s="111">
        <f>VLOOKUP($A16,Alimentos!$A:$BA,22,FALSE)</f>
        <v>0</v>
      </c>
      <c r="W16" s="112">
        <f>VLOOKUP($A16,Alimentos!$A:$BA,23,FALSE)</f>
        <v>0</v>
      </c>
      <c r="X16" s="112">
        <f>VLOOKUP($A16,Alimentos!$A:$BA,24,FALSE)</f>
        <v>0</v>
      </c>
      <c r="Y16" s="112">
        <f>VLOOKUP($A16,Alimentos!$A:$BA,25,FALSE)</f>
        <v>0</v>
      </c>
      <c r="Z16" s="112">
        <f>VLOOKUP($A16,Alimentos!$A:$BA,26,FALSE)</f>
        <v>0</v>
      </c>
      <c r="AA16" s="112">
        <f>VLOOKUP($A16,Alimentos!$A:$BA,27,FALSE)</f>
        <v>0</v>
      </c>
      <c r="AB16" s="112">
        <f>VLOOKUP($A16,Alimentos!$A:$BA,28,FALSE)</f>
        <v>0</v>
      </c>
      <c r="AC16" s="112">
        <f>VLOOKUP($A16,Alimentos!$A:$BA,29,FALSE)</f>
        <v>0</v>
      </c>
      <c r="AD16" s="112">
        <f>VLOOKUP($A16,Alimentos!$A:$BA,30,FALSE)</f>
        <v>0</v>
      </c>
      <c r="AE16" s="112">
        <f>VLOOKUP($A16,Alimentos!$A:$BA,31,FALSE)</f>
        <v>0</v>
      </c>
      <c r="AF16" s="113">
        <f>VLOOKUP($A16,Alimentos!$A:$BA,32,FALSE)</f>
        <v>0</v>
      </c>
      <c r="AG16" s="113">
        <f>VLOOKUP($A16,Alimentos!$A:$BA,33,FALSE)</f>
        <v>0</v>
      </c>
      <c r="AH16" s="113">
        <f>VLOOKUP($A16,Alimentos!$A:$BA,34,FALSE)</f>
        <v>0</v>
      </c>
      <c r="AI16" s="113">
        <f>VLOOKUP($A16,Alimentos!$A:$BA,35,FALSE)</f>
        <v>0</v>
      </c>
      <c r="AJ16" s="113">
        <f>VLOOKUP($A16,Alimentos!$A:$BA,36,FALSE)</f>
        <v>0</v>
      </c>
      <c r="AK16" s="113">
        <f>VLOOKUP($A16,Alimentos!$A:$BA,37,FALSE)</f>
        <v>0</v>
      </c>
      <c r="AL16" s="113">
        <f>VLOOKUP($A16,Alimentos!$A:$BA,38,FALSE)</f>
        <v>0</v>
      </c>
      <c r="AM16" s="113">
        <f>VLOOKUP($A16,Alimentos!$A:$BA,39,FALSE)</f>
        <v>0</v>
      </c>
      <c r="AN16" s="113">
        <f>VLOOKUP($A16,Alimentos!$A:$BA,40,FALSE)</f>
        <v>0</v>
      </c>
      <c r="AO16" s="113">
        <f>VLOOKUP($A16,Alimentos!$A:$BA,41,FALSE)</f>
        <v>0</v>
      </c>
      <c r="AP16" s="113">
        <f>VLOOKUP($A16,Alimentos!$A:$BA,42,FALSE)</f>
        <v>0</v>
      </c>
      <c r="AQ16" s="113">
        <f>VLOOKUP($A16,Alimentos!$A:$BA,43,FALSE)</f>
        <v>0</v>
      </c>
      <c r="AR16" s="113">
        <f>VLOOKUP($A16,Alimentos!$A:$BA,44,FALSE)</f>
        <v>0</v>
      </c>
      <c r="AS16" s="113">
        <f>VLOOKUP($A16,Alimentos!$A:$BA,45,FALSE)</f>
        <v>0</v>
      </c>
      <c r="AT16" s="218">
        <f>VLOOKUP($A16,Alimentos!$A:$BA,46,FALSE)</f>
        <v>0</v>
      </c>
      <c r="AU16" s="218">
        <f>VLOOKUP($A16,Alimentos!$A:$BA,47,FALSE)</f>
        <v>0</v>
      </c>
      <c r="AV16" s="218">
        <f>VLOOKUP($A16,Alimentos!$A:$BA,48,FALSE)</f>
        <v>0</v>
      </c>
      <c r="AW16" s="218">
        <f>VLOOKUP($A16,Alimentos!$A:$BA,49,FALSE)</f>
        <v>0</v>
      </c>
      <c r="AX16" s="218">
        <f>VLOOKUP($A16,Alimentos!$A:$BA,50,FALSE)</f>
        <v>0</v>
      </c>
      <c r="AY16" s="113">
        <f>VLOOKUP($A16,Alimentos!$A:$BA,51,FALSE)</f>
        <v>0</v>
      </c>
      <c r="AZ16" s="113">
        <f>VLOOKUP($A16,Alimentos!$A:$BA,52,FALSE)</f>
        <v>0</v>
      </c>
      <c r="BA16" s="113">
        <f>VLOOKUP($A16,Alimentos!$A:$BA,53,FALSE)</f>
        <v>0</v>
      </c>
      <c r="BB16" s="113">
        <f>VLOOKUP($A16,Alimentos!$A:$BC,54,FALSE)</f>
        <v>0</v>
      </c>
      <c r="BC16" s="113">
        <f>VLOOKUP($A16,Alimentos!$A:$BC,55,FALSE)</f>
        <v>0</v>
      </c>
    </row>
    <row r="17" spans="1:55" x14ac:dyDescent="0.25">
      <c r="A17" s="108" t="s">
        <v>60</v>
      </c>
      <c r="B17" s="109">
        <f>VLOOKUP($A17,Alimentos!$A:$BA,2,FALSE)</f>
        <v>0</v>
      </c>
      <c r="C17" s="114">
        <f>VLOOKUP($A17,Alimentos!$A:$BA,4,FALSE)</f>
        <v>0</v>
      </c>
      <c r="E17" s="111">
        <f>VLOOKUP($A17,Alimentos!$A:$BA,5,FALSE)</f>
        <v>0</v>
      </c>
      <c r="F17" s="111">
        <f>VLOOKUP($A17,Alimentos!$A:$BA,6,FALSE)</f>
        <v>0</v>
      </c>
      <c r="G17" s="111">
        <f>VLOOKUP($A17,Alimentos!$A:$BA,7,FALSE)</f>
        <v>0</v>
      </c>
      <c r="H17" s="111">
        <f>VLOOKUP($A17,Alimentos!$A:$BA,8,FALSE)</f>
        <v>0</v>
      </c>
      <c r="I17" s="111">
        <f>VLOOKUP($A17,Alimentos!$A:$BA,9,FALSE)</f>
        <v>0</v>
      </c>
      <c r="J17" s="111">
        <f>VLOOKUP($A17,Alimentos!$A:$BA,10,FALSE)</f>
        <v>0</v>
      </c>
      <c r="K17" s="111">
        <f>VLOOKUP($A17,Alimentos!$A:$BA,11,FALSE)</f>
        <v>0</v>
      </c>
      <c r="L17" s="111">
        <f>VLOOKUP($A17,Alimentos!$A:$BA,12,FALSE)</f>
        <v>0</v>
      </c>
      <c r="M17" s="111">
        <f>VLOOKUP($A17,Alimentos!$A:$BA,13,FALSE)</f>
        <v>0</v>
      </c>
      <c r="N17" s="111">
        <f>VLOOKUP($A17,Alimentos!$A:$BA,14,FALSE)</f>
        <v>0</v>
      </c>
      <c r="O17" s="90">
        <f>VLOOKUP($A17,Alimentos!$A:$BA,15,FALSE)</f>
        <v>0</v>
      </c>
      <c r="P17" s="111">
        <f>VLOOKUP($A17,Alimentos!$A:$BA,16,FALSE)</f>
        <v>0</v>
      </c>
      <c r="Q17" s="111">
        <f>VLOOKUP($A17,Alimentos!$A:$BA,17,FALSE)</f>
        <v>0</v>
      </c>
      <c r="R17" s="111">
        <f>VLOOKUP($A17,Alimentos!$A:$BA,18,FALSE)</f>
        <v>0</v>
      </c>
      <c r="S17" s="111">
        <f>VLOOKUP($A17,Alimentos!$A:$BA,19,FALSE)</f>
        <v>0</v>
      </c>
      <c r="T17" s="111">
        <f>VLOOKUP($A17,Alimentos!$A:$BA,20,FALSE)</f>
        <v>0</v>
      </c>
      <c r="U17" s="111">
        <f>VLOOKUP($A17,Alimentos!$A:$BA,21,FALSE)</f>
        <v>0</v>
      </c>
      <c r="V17" s="111">
        <f>VLOOKUP($A17,Alimentos!$A:$BA,22,FALSE)</f>
        <v>0</v>
      </c>
      <c r="W17" s="112">
        <f>VLOOKUP($A17,Alimentos!$A:$BA,23,FALSE)</f>
        <v>0</v>
      </c>
      <c r="X17" s="112">
        <f>VLOOKUP($A17,Alimentos!$A:$BA,24,FALSE)</f>
        <v>0</v>
      </c>
      <c r="Y17" s="112">
        <f>VLOOKUP($A17,Alimentos!$A:$BA,25,FALSE)</f>
        <v>0</v>
      </c>
      <c r="Z17" s="112">
        <f>VLOOKUP($A17,Alimentos!$A:$BA,26,FALSE)</f>
        <v>0</v>
      </c>
      <c r="AA17" s="112">
        <f>VLOOKUP($A17,Alimentos!$A:$BA,27,FALSE)</f>
        <v>0</v>
      </c>
      <c r="AB17" s="112">
        <f>VLOOKUP($A17,Alimentos!$A:$BA,28,FALSE)</f>
        <v>0</v>
      </c>
      <c r="AC17" s="112">
        <f>VLOOKUP($A17,Alimentos!$A:$BA,29,FALSE)</f>
        <v>0</v>
      </c>
      <c r="AD17" s="112">
        <f>VLOOKUP($A17,Alimentos!$A:$BA,30,FALSE)</f>
        <v>0</v>
      </c>
      <c r="AE17" s="112">
        <f>VLOOKUP($A17,Alimentos!$A:$BA,31,FALSE)</f>
        <v>0</v>
      </c>
      <c r="AF17" s="113">
        <f>VLOOKUP($A17,Alimentos!$A:$BA,32,FALSE)</f>
        <v>0</v>
      </c>
      <c r="AG17" s="113">
        <f>VLOOKUP($A17,Alimentos!$A:$BA,33,FALSE)</f>
        <v>0</v>
      </c>
      <c r="AH17" s="113">
        <f>VLOOKUP($A17,Alimentos!$A:$BA,34,FALSE)</f>
        <v>0</v>
      </c>
      <c r="AI17" s="113">
        <f>VLOOKUP($A17,Alimentos!$A:$BA,35,FALSE)</f>
        <v>0</v>
      </c>
      <c r="AJ17" s="113">
        <f>VLOOKUP($A17,Alimentos!$A:$BA,36,FALSE)</f>
        <v>0</v>
      </c>
      <c r="AK17" s="113">
        <f>VLOOKUP($A17,Alimentos!$A:$BA,37,FALSE)</f>
        <v>0</v>
      </c>
      <c r="AL17" s="113">
        <f>VLOOKUP($A17,Alimentos!$A:$BA,38,FALSE)</f>
        <v>0</v>
      </c>
      <c r="AM17" s="113">
        <f>VLOOKUP($A17,Alimentos!$A:$BA,39,FALSE)</f>
        <v>0</v>
      </c>
      <c r="AN17" s="113">
        <f>VLOOKUP($A17,Alimentos!$A:$BA,40,FALSE)</f>
        <v>0</v>
      </c>
      <c r="AO17" s="113">
        <f>VLOOKUP($A17,Alimentos!$A:$BA,41,FALSE)</f>
        <v>0</v>
      </c>
      <c r="AP17" s="113">
        <f>VLOOKUP($A17,Alimentos!$A:$BA,42,FALSE)</f>
        <v>0</v>
      </c>
      <c r="AQ17" s="113">
        <f>VLOOKUP($A17,Alimentos!$A:$BA,43,FALSE)</f>
        <v>0</v>
      </c>
      <c r="AR17" s="113">
        <f>VLOOKUP($A17,Alimentos!$A:$BA,44,FALSE)</f>
        <v>0</v>
      </c>
      <c r="AS17" s="113">
        <f>VLOOKUP($A17,Alimentos!$A:$BA,45,FALSE)</f>
        <v>0</v>
      </c>
      <c r="AT17" s="218">
        <f>VLOOKUP($A17,Alimentos!$A:$BA,46,FALSE)</f>
        <v>0</v>
      </c>
      <c r="AU17" s="218">
        <f>VLOOKUP($A17,Alimentos!$A:$BA,47,FALSE)</f>
        <v>0</v>
      </c>
      <c r="AV17" s="218">
        <f>VLOOKUP($A17,Alimentos!$A:$BA,48,FALSE)</f>
        <v>0</v>
      </c>
      <c r="AW17" s="218">
        <f>VLOOKUP($A17,Alimentos!$A:$BA,49,FALSE)</f>
        <v>0</v>
      </c>
      <c r="AX17" s="218">
        <f>VLOOKUP($A17,Alimentos!$A:$BA,50,FALSE)</f>
        <v>0</v>
      </c>
      <c r="AY17" s="113">
        <f>VLOOKUP($A17,Alimentos!$A:$BA,51,FALSE)</f>
        <v>0</v>
      </c>
      <c r="AZ17" s="113">
        <f>VLOOKUP($A17,Alimentos!$A:$BA,52,FALSE)</f>
        <v>0</v>
      </c>
      <c r="BA17" s="113">
        <f>VLOOKUP($A17,Alimentos!$A:$BA,53,FALSE)</f>
        <v>0</v>
      </c>
      <c r="BB17" s="113">
        <f>VLOOKUP($A17,Alimentos!$A:$BC,54,FALSE)</f>
        <v>0</v>
      </c>
      <c r="BC17" s="113">
        <f>VLOOKUP($A17,Alimentos!$A:$BC,55,FALSE)</f>
        <v>0</v>
      </c>
    </row>
    <row r="18" spans="1:55" x14ac:dyDescent="0.25">
      <c r="A18" s="108" t="s">
        <v>60</v>
      </c>
      <c r="B18" s="109">
        <f>VLOOKUP($A18,Alimentos!$A:$BA,2,FALSE)</f>
        <v>0</v>
      </c>
      <c r="C18" s="114">
        <f>VLOOKUP($A18,Alimentos!$A:$BA,4,FALSE)</f>
        <v>0</v>
      </c>
      <c r="E18" s="111">
        <f>VLOOKUP($A18,Alimentos!$A:$BA,5,FALSE)</f>
        <v>0</v>
      </c>
      <c r="F18" s="111">
        <f>VLOOKUP($A18,Alimentos!$A:$BA,6,FALSE)</f>
        <v>0</v>
      </c>
      <c r="G18" s="111">
        <f>VLOOKUP($A18,Alimentos!$A:$BA,7,FALSE)</f>
        <v>0</v>
      </c>
      <c r="H18" s="111">
        <f>VLOOKUP($A18,Alimentos!$A:$BA,8,FALSE)</f>
        <v>0</v>
      </c>
      <c r="I18" s="111">
        <f>VLOOKUP($A18,Alimentos!$A:$BA,9,FALSE)</f>
        <v>0</v>
      </c>
      <c r="J18" s="111">
        <f>VLOOKUP($A18,Alimentos!$A:$BA,10,FALSE)</f>
        <v>0</v>
      </c>
      <c r="K18" s="111">
        <f>VLOOKUP($A18,Alimentos!$A:$BA,11,FALSE)</f>
        <v>0</v>
      </c>
      <c r="L18" s="111">
        <f>VLOOKUP($A18,Alimentos!$A:$BA,12,FALSE)</f>
        <v>0</v>
      </c>
      <c r="M18" s="111">
        <f>VLOOKUP($A18,Alimentos!$A:$BA,13,FALSE)</f>
        <v>0</v>
      </c>
      <c r="N18" s="111">
        <f>VLOOKUP($A18,Alimentos!$A:$BA,14,FALSE)</f>
        <v>0</v>
      </c>
      <c r="O18" s="90">
        <f>VLOOKUP($A18,Alimentos!$A:$BA,15,FALSE)</f>
        <v>0</v>
      </c>
      <c r="P18" s="111">
        <f>VLOOKUP($A18,Alimentos!$A:$BA,16,FALSE)</f>
        <v>0</v>
      </c>
      <c r="Q18" s="111">
        <f>VLOOKUP($A18,Alimentos!$A:$BA,17,FALSE)</f>
        <v>0</v>
      </c>
      <c r="R18" s="111">
        <f>VLOOKUP($A18,Alimentos!$A:$BA,18,FALSE)</f>
        <v>0</v>
      </c>
      <c r="S18" s="111">
        <f>VLOOKUP($A18,Alimentos!$A:$BA,19,FALSE)</f>
        <v>0</v>
      </c>
      <c r="T18" s="111">
        <f>VLOOKUP($A18,Alimentos!$A:$BA,20,FALSE)</f>
        <v>0</v>
      </c>
      <c r="U18" s="111">
        <f>VLOOKUP($A18,Alimentos!$A:$BA,21,FALSE)</f>
        <v>0</v>
      </c>
      <c r="V18" s="111">
        <f>VLOOKUP($A18,Alimentos!$A:$BA,22,FALSE)</f>
        <v>0</v>
      </c>
      <c r="W18" s="112">
        <f>VLOOKUP($A18,Alimentos!$A:$BA,23,FALSE)</f>
        <v>0</v>
      </c>
      <c r="X18" s="112">
        <f>VLOOKUP($A18,Alimentos!$A:$BA,24,FALSE)</f>
        <v>0</v>
      </c>
      <c r="Y18" s="112">
        <f>VLOOKUP($A18,Alimentos!$A:$BA,25,FALSE)</f>
        <v>0</v>
      </c>
      <c r="Z18" s="112">
        <f>VLOOKUP($A18,Alimentos!$A:$BA,26,FALSE)</f>
        <v>0</v>
      </c>
      <c r="AA18" s="112">
        <f>VLOOKUP($A18,Alimentos!$A:$BA,27,FALSE)</f>
        <v>0</v>
      </c>
      <c r="AB18" s="112">
        <f>VLOOKUP($A18,Alimentos!$A:$BA,28,FALSE)</f>
        <v>0</v>
      </c>
      <c r="AC18" s="112">
        <f>VLOOKUP($A18,Alimentos!$A:$BA,29,FALSE)</f>
        <v>0</v>
      </c>
      <c r="AD18" s="112">
        <f>VLOOKUP($A18,Alimentos!$A:$BA,30,FALSE)</f>
        <v>0</v>
      </c>
      <c r="AE18" s="112">
        <f>VLOOKUP($A18,Alimentos!$A:$BA,31,FALSE)</f>
        <v>0</v>
      </c>
      <c r="AF18" s="113">
        <f>VLOOKUP($A18,Alimentos!$A:$BA,32,FALSE)</f>
        <v>0</v>
      </c>
      <c r="AG18" s="113">
        <f>VLOOKUP($A18,Alimentos!$A:$BA,33,FALSE)</f>
        <v>0</v>
      </c>
      <c r="AH18" s="113">
        <f>VLOOKUP($A18,Alimentos!$A:$BA,34,FALSE)</f>
        <v>0</v>
      </c>
      <c r="AI18" s="113">
        <f>VLOOKUP($A18,Alimentos!$A:$BA,35,FALSE)</f>
        <v>0</v>
      </c>
      <c r="AJ18" s="113">
        <f>VLOOKUP($A18,Alimentos!$A:$BA,36,FALSE)</f>
        <v>0</v>
      </c>
      <c r="AK18" s="113">
        <f>VLOOKUP($A18,Alimentos!$A:$BA,37,FALSE)</f>
        <v>0</v>
      </c>
      <c r="AL18" s="113">
        <f>VLOOKUP($A18,Alimentos!$A:$BA,38,FALSE)</f>
        <v>0</v>
      </c>
      <c r="AM18" s="113">
        <f>VLOOKUP($A18,Alimentos!$A:$BA,39,FALSE)</f>
        <v>0</v>
      </c>
      <c r="AN18" s="113">
        <f>VLOOKUP($A18,Alimentos!$A:$BA,40,FALSE)</f>
        <v>0</v>
      </c>
      <c r="AO18" s="113">
        <f>VLOOKUP($A18,Alimentos!$A:$BA,41,FALSE)</f>
        <v>0</v>
      </c>
      <c r="AP18" s="113">
        <f>VLOOKUP($A18,Alimentos!$A:$BA,42,FALSE)</f>
        <v>0</v>
      </c>
      <c r="AQ18" s="113">
        <f>VLOOKUP($A18,Alimentos!$A:$BA,43,FALSE)</f>
        <v>0</v>
      </c>
      <c r="AR18" s="113">
        <f>VLOOKUP($A18,Alimentos!$A:$BA,44,FALSE)</f>
        <v>0</v>
      </c>
      <c r="AS18" s="113">
        <f>VLOOKUP($A18,Alimentos!$A:$BA,45,FALSE)</f>
        <v>0</v>
      </c>
      <c r="AT18" s="218">
        <f>VLOOKUP($A18,Alimentos!$A:$BA,46,FALSE)</f>
        <v>0</v>
      </c>
      <c r="AU18" s="218">
        <f>VLOOKUP($A18,Alimentos!$A:$BA,47,FALSE)</f>
        <v>0</v>
      </c>
      <c r="AV18" s="218">
        <f>VLOOKUP($A18,Alimentos!$A:$BA,48,FALSE)</f>
        <v>0</v>
      </c>
      <c r="AW18" s="218">
        <f>VLOOKUP($A18,Alimentos!$A:$BA,49,FALSE)</f>
        <v>0</v>
      </c>
      <c r="AX18" s="218">
        <f>VLOOKUP($A18,Alimentos!$A:$BA,50,FALSE)</f>
        <v>0</v>
      </c>
      <c r="AY18" s="113">
        <f>VLOOKUP($A18,Alimentos!$A:$BA,51,FALSE)</f>
        <v>0</v>
      </c>
      <c r="AZ18" s="113">
        <f>VLOOKUP($A18,Alimentos!$A:$BA,52,FALSE)</f>
        <v>0</v>
      </c>
      <c r="BA18" s="113">
        <f>VLOOKUP($A18,Alimentos!$A:$BA,53,FALSE)</f>
        <v>0</v>
      </c>
      <c r="BB18" s="113">
        <f>VLOOKUP($A18,Alimentos!$A:$BC,54,FALSE)</f>
        <v>0</v>
      </c>
      <c r="BC18" s="113">
        <f>VLOOKUP($A18,Alimentos!$A:$BC,55,FALSE)</f>
        <v>0</v>
      </c>
    </row>
    <row r="19" spans="1:55" x14ac:dyDescent="0.25">
      <c r="A19" s="108" t="s">
        <v>60</v>
      </c>
      <c r="B19" s="109">
        <f>VLOOKUP($A19,Alimentos!$A:$BA,2,FALSE)</f>
        <v>0</v>
      </c>
      <c r="C19" s="114">
        <f>VLOOKUP($A19,Alimentos!$A:$BA,4,FALSE)</f>
        <v>0</v>
      </c>
      <c r="E19" s="111">
        <f>VLOOKUP($A19,Alimentos!$A:$BA,5,FALSE)</f>
        <v>0</v>
      </c>
      <c r="F19" s="111">
        <f>VLOOKUP($A19,Alimentos!$A:$BA,6,FALSE)</f>
        <v>0</v>
      </c>
      <c r="G19" s="111">
        <f>VLOOKUP($A19,Alimentos!$A:$BA,7,FALSE)</f>
        <v>0</v>
      </c>
      <c r="H19" s="111">
        <f>VLOOKUP($A19,Alimentos!$A:$BA,8,FALSE)</f>
        <v>0</v>
      </c>
      <c r="I19" s="111">
        <f>VLOOKUP($A19,Alimentos!$A:$BA,9,FALSE)</f>
        <v>0</v>
      </c>
      <c r="J19" s="111">
        <f>VLOOKUP($A19,Alimentos!$A:$BA,10,FALSE)</f>
        <v>0</v>
      </c>
      <c r="K19" s="111">
        <f>VLOOKUP($A19,Alimentos!$A:$BA,11,FALSE)</f>
        <v>0</v>
      </c>
      <c r="L19" s="111">
        <f>VLOOKUP($A19,Alimentos!$A:$BA,12,FALSE)</f>
        <v>0</v>
      </c>
      <c r="M19" s="111">
        <f>VLOOKUP($A19,Alimentos!$A:$BA,13,FALSE)</f>
        <v>0</v>
      </c>
      <c r="N19" s="111">
        <f>VLOOKUP($A19,Alimentos!$A:$BA,14,FALSE)</f>
        <v>0</v>
      </c>
      <c r="O19" s="90">
        <f>VLOOKUP($A19,Alimentos!$A:$BA,15,FALSE)</f>
        <v>0</v>
      </c>
      <c r="P19" s="111">
        <f>VLOOKUP($A19,Alimentos!$A:$BA,16,FALSE)</f>
        <v>0</v>
      </c>
      <c r="Q19" s="111">
        <f>VLOOKUP($A19,Alimentos!$A:$BA,17,FALSE)</f>
        <v>0</v>
      </c>
      <c r="R19" s="111">
        <f>VLOOKUP($A19,Alimentos!$A:$BA,18,FALSE)</f>
        <v>0</v>
      </c>
      <c r="S19" s="111">
        <f>VLOOKUP($A19,Alimentos!$A:$BA,19,FALSE)</f>
        <v>0</v>
      </c>
      <c r="T19" s="111">
        <f>VLOOKUP($A19,Alimentos!$A:$BA,20,FALSE)</f>
        <v>0</v>
      </c>
      <c r="U19" s="111">
        <f>VLOOKUP($A19,Alimentos!$A:$BA,21,FALSE)</f>
        <v>0</v>
      </c>
      <c r="V19" s="111">
        <f>VLOOKUP($A19,Alimentos!$A:$BA,22,FALSE)</f>
        <v>0</v>
      </c>
      <c r="W19" s="112">
        <f>VLOOKUP($A19,Alimentos!$A:$BA,23,FALSE)</f>
        <v>0</v>
      </c>
      <c r="X19" s="112">
        <f>VLOOKUP($A19,Alimentos!$A:$BA,24,FALSE)</f>
        <v>0</v>
      </c>
      <c r="Y19" s="112">
        <f>VLOOKUP($A19,Alimentos!$A:$BA,25,FALSE)</f>
        <v>0</v>
      </c>
      <c r="Z19" s="112">
        <f>VLOOKUP($A19,Alimentos!$A:$BA,26,FALSE)</f>
        <v>0</v>
      </c>
      <c r="AA19" s="112">
        <f>VLOOKUP($A19,Alimentos!$A:$BA,27,FALSE)</f>
        <v>0</v>
      </c>
      <c r="AB19" s="112">
        <f>VLOOKUP($A19,Alimentos!$A:$BA,28,FALSE)</f>
        <v>0</v>
      </c>
      <c r="AC19" s="112">
        <f>VLOOKUP($A19,Alimentos!$A:$BA,29,FALSE)</f>
        <v>0</v>
      </c>
      <c r="AD19" s="112">
        <f>VLOOKUP($A19,Alimentos!$A:$BA,30,FALSE)</f>
        <v>0</v>
      </c>
      <c r="AE19" s="112">
        <f>VLOOKUP($A19,Alimentos!$A:$BA,31,FALSE)</f>
        <v>0</v>
      </c>
      <c r="AF19" s="113">
        <f>VLOOKUP($A19,Alimentos!$A:$BA,32,FALSE)</f>
        <v>0</v>
      </c>
      <c r="AG19" s="113">
        <f>VLOOKUP($A19,Alimentos!$A:$BA,33,FALSE)</f>
        <v>0</v>
      </c>
      <c r="AH19" s="113">
        <f>VLOOKUP($A19,Alimentos!$A:$BA,34,FALSE)</f>
        <v>0</v>
      </c>
      <c r="AI19" s="113">
        <f>VLOOKUP($A19,Alimentos!$A:$BA,35,FALSE)</f>
        <v>0</v>
      </c>
      <c r="AJ19" s="113">
        <f>VLOOKUP($A19,Alimentos!$A:$BA,36,FALSE)</f>
        <v>0</v>
      </c>
      <c r="AK19" s="113">
        <f>VLOOKUP($A19,Alimentos!$A:$BA,37,FALSE)</f>
        <v>0</v>
      </c>
      <c r="AL19" s="113">
        <f>VLOOKUP($A19,Alimentos!$A:$BA,38,FALSE)</f>
        <v>0</v>
      </c>
      <c r="AM19" s="113">
        <f>VLOOKUP($A19,Alimentos!$A:$BA,39,FALSE)</f>
        <v>0</v>
      </c>
      <c r="AN19" s="113">
        <f>VLOOKUP($A19,Alimentos!$A:$BA,40,FALSE)</f>
        <v>0</v>
      </c>
      <c r="AO19" s="113">
        <f>VLOOKUP($A19,Alimentos!$A:$BA,41,FALSE)</f>
        <v>0</v>
      </c>
      <c r="AP19" s="113">
        <f>VLOOKUP($A19,Alimentos!$A:$BA,42,FALSE)</f>
        <v>0</v>
      </c>
      <c r="AQ19" s="113">
        <f>VLOOKUP($A19,Alimentos!$A:$BA,43,FALSE)</f>
        <v>0</v>
      </c>
      <c r="AR19" s="113">
        <f>VLOOKUP($A19,Alimentos!$A:$BA,44,FALSE)</f>
        <v>0</v>
      </c>
      <c r="AS19" s="113">
        <f>VLOOKUP($A19,Alimentos!$A:$BA,45,FALSE)</f>
        <v>0</v>
      </c>
      <c r="AT19" s="218">
        <f>VLOOKUP($A19,Alimentos!$A:$BA,46,FALSE)</f>
        <v>0</v>
      </c>
      <c r="AU19" s="218">
        <f>VLOOKUP($A19,Alimentos!$A:$BA,47,FALSE)</f>
        <v>0</v>
      </c>
      <c r="AV19" s="218">
        <f>VLOOKUP($A19,Alimentos!$A:$BA,48,FALSE)</f>
        <v>0</v>
      </c>
      <c r="AW19" s="218">
        <f>VLOOKUP($A19,Alimentos!$A:$BA,49,FALSE)</f>
        <v>0</v>
      </c>
      <c r="AX19" s="218">
        <f>VLOOKUP($A19,Alimentos!$A:$BA,50,FALSE)</f>
        <v>0</v>
      </c>
      <c r="AY19" s="113">
        <f>VLOOKUP($A19,Alimentos!$A:$BA,51,FALSE)</f>
        <v>0</v>
      </c>
      <c r="AZ19" s="113">
        <f>VLOOKUP($A19,Alimentos!$A:$BA,52,FALSE)</f>
        <v>0</v>
      </c>
      <c r="BA19" s="113">
        <f>VLOOKUP($A19,Alimentos!$A:$BA,53,FALSE)</f>
        <v>0</v>
      </c>
      <c r="BB19" s="113">
        <f>VLOOKUP($A19,Alimentos!$A:$BC,54,FALSE)</f>
        <v>0</v>
      </c>
      <c r="BC19" s="113">
        <f>VLOOKUP($A19,Alimentos!$A:$BC,55,FALSE)</f>
        <v>0</v>
      </c>
    </row>
    <row r="20" spans="1:55" x14ac:dyDescent="0.25">
      <c r="A20" s="108" t="s">
        <v>60</v>
      </c>
      <c r="B20" s="109">
        <f>VLOOKUP($A20,Alimentos!$A:$BA,2,FALSE)</f>
        <v>0</v>
      </c>
      <c r="C20" s="114">
        <f>VLOOKUP($A20,Alimentos!$A:$BA,4,FALSE)</f>
        <v>0</v>
      </c>
      <c r="E20" s="111">
        <f>VLOOKUP($A20,Alimentos!$A:$BA,5,FALSE)</f>
        <v>0</v>
      </c>
      <c r="F20" s="111">
        <f>VLOOKUP($A20,Alimentos!$A:$BA,6,FALSE)</f>
        <v>0</v>
      </c>
      <c r="G20" s="111">
        <f>VLOOKUP($A20,Alimentos!$A:$BA,7,FALSE)</f>
        <v>0</v>
      </c>
      <c r="H20" s="111">
        <f>VLOOKUP($A20,Alimentos!$A:$BA,8,FALSE)</f>
        <v>0</v>
      </c>
      <c r="I20" s="111">
        <f>VLOOKUP($A20,Alimentos!$A:$BA,9,FALSE)</f>
        <v>0</v>
      </c>
      <c r="J20" s="111">
        <f>VLOOKUP($A20,Alimentos!$A:$BA,10,FALSE)</f>
        <v>0</v>
      </c>
      <c r="K20" s="111">
        <f>VLOOKUP($A20,Alimentos!$A:$BA,11,FALSE)</f>
        <v>0</v>
      </c>
      <c r="L20" s="111">
        <f>VLOOKUP($A20,Alimentos!$A:$BA,12,FALSE)</f>
        <v>0</v>
      </c>
      <c r="M20" s="111">
        <f>VLOOKUP($A20,Alimentos!$A:$BA,13,FALSE)</f>
        <v>0</v>
      </c>
      <c r="N20" s="111">
        <f>VLOOKUP($A20,Alimentos!$A:$BA,14,FALSE)</f>
        <v>0</v>
      </c>
      <c r="O20" s="90">
        <f>VLOOKUP($A20,Alimentos!$A:$BA,15,FALSE)</f>
        <v>0</v>
      </c>
      <c r="P20" s="111">
        <f>VLOOKUP($A20,Alimentos!$A:$BA,16,FALSE)</f>
        <v>0</v>
      </c>
      <c r="Q20" s="111">
        <f>VLOOKUP($A20,Alimentos!$A:$BA,17,FALSE)</f>
        <v>0</v>
      </c>
      <c r="R20" s="111">
        <f>VLOOKUP($A20,Alimentos!$A:$BA,18,FALSE)</f>
        <v>0</v>
      </c>
      <c r="S20" s="111">
        <f>VLOOKUP($A20,Alimentos!$A:$BA,19,FALSE)</f>
        <v>0</v>
      </c>
      <c r="T20" s="111">
        <f>VLOOKUP($A20,Alimentos!$A:$BA,20,FALSE)</f>
        <v>0</v>
      </c>
      <c r="U20" s="111">
        <f>VLOOKUP($A20,Alimentos!$A:$BA,21,FALSE)</f>
        <v>0</v>
      </c>
      <c r="V20" s="111">
        <f>VLOOKUP($A20,Alimentos!$A:$BA,22,FALSE)</f>
        <v>0</v>
      </c>
      <c r="W20" s="112">
        <f>VLOOKUP($A20,Alimentos!$A:$BA,23,FALSE)</f>
        <v>0</v>
      </c>
      <c r="X20" s="112">
        <f>VLOOKUP($A20,Alimentos!$A:$BA,24,FALSE)</f>
        <v>0</v>
      </c>
      <c r="Y20" s="112">
        <f>VLOOKUP($A20,Alimentos!$A:$BA,25,FALSE)</f>
        <v>0</v>
      </c>
      <c r="Z20" s="112">
        <f>VLOOKUP($A20,Alimentos!$A:$BA,26,FALSE)</f>
        <v>0</v>
      </c>
      <c r="AA20" s="112">
        <f>VLOOKUP($A20,Alimentos!$A:$BA,27,FALSE)</f>
        <v>0</v>
      </c>
      <c r="AB20" s="112">
        <f>VLOOKUP($A20,Alimentos!$A:$BA,28,FALSE)</f>
        <v>0</v>
      </c>
      <c r="AC20" s="112">
        <f>VLOOKUP($A20,Alimentos!$A:$BA,29,FALSE)</f>
        <v>0</v>
      </c>
      <c r="AD20" s="112">
        <f>VLOOKUP($A20,Alimentos!$A:$BA,30,FALSE)</f>
        <v>0</v>
      </c>
      <c r="AE20" s="112">
        <f>VLOOKUP($A20,Alimentos!$A:$BA,31,FALSE)</f>
        <v>0</v>
      </c>
      <c r="AF20" s="113">
        <f>VLOOKUP($A20,Alimentos!$A:$BA,32,FALSE)</f>
        <v>0</v>
      </c>
      <c r="AG20" s="113">
        <f>VLOOKUP($A20,Alimentos!$A:$BA,33,FALSE)</f>
        <v>0</v>
      </c>
      <c r="AH20" s="113">
        <f>VLOOKUP($A20,Alimentos!$A:$BA,34,FALSE)</f>
        <v>0</v>
      </c>
      <c r="AI20" s="113">
        <f>VLOOKUP($A20,Alimentos!$A:$BA,35,FALSE)</f>
        <v>0</v>
      </c>
      <c r="AJ20" s="113">
        <f>VLOOKUP($A20,Alimentos!$A:$BA,36,FALSE)</f>
        <v>0</v>
      </c>
      <c r="AK20" s="113">
        <f>VLOOKUP($A20,Alimentos!$A:$BA,37,FALSE)</f>
        <v>0</v>
      </c>
      <c r="AL20" s="113">
        <f>VLOOKUP($A20,Alimentos!$A:$BA,38,FALSE)</f>
        <v>0</v>
      </c>
      <c r="AM20" s="113">
        <f>VLOOKUP($A20,Alimentos!$A:$BA,39,FALSE)</f>
        <v>0</v>
      </c>
      <c r="AN20" s="113">
        <f>VLOOKUP($A20,Alimentos!$A:$BA,40,FALSE)</f>
        <v>0</v>
      </c>
      <c r="AO20" s="113">
        <f>VLOOKUP($A20,Alimentos!$A:$BA,41,FALSE)</f>
        <v>0</v>
      </c>
      <c r="AP20" s="113">
        <f>VLOOKUP($A20,Alimentos!$A:$BA,42,FALSE)</f>
        <v>0</v>
      </c>
      <c r="AQ20" s="113">
        <f>VLOOKUP($A20,Alimentos!$A:$BA,43,FALSE)</f>
        <v>0</v>
      </c>
      <c r="AR20" s="113">
        <f>VLOOKUP($A20,Alimentos!$A:$BA,44,FALSE)</f>
        <v>0</v>
      </c>
      <c r="AS20" s="113">
        <f>VLOOKUP($A20,Alimentos!$A:$BA,45,FALSE)</f>
        <v>0</v>
      </c>
      <c r="AT20" s="218">
        <f>VLOOKUP($A20,Alimentos!$A:$BA,46,FALSE)</f>
        <v>0</v>
      </c>
      <c r="AU20" s="218">
        <f>VLOOKUP($A20,Alimentos!$A:$BA,47,FALSE)</f>
        <v>0</v>
      </c>
      <c r="AV20" s="218">
        <f>VLOOKUP($A20,Alimentos!$A:$BA,48,FALSE)</f>
        <v>0</v>
      </c>
      <c r="AW20" s="218">
        <f>VLOOKUP($A20,Alimentos!$A:$BA,49,FALSE)</f>
        <v>0</v>
      </c>
      <c r="AX20" s="218">
        <f>VLOOKUP($A20,Alimentos!$A:$BA,50,FALSE)</f>
        <v>0</v>
      </c>
      <c r="AY20" s="113">
        <f>VLOOKUP($A20,Alimentos!$A:$BA,51,FALSE)</f>
        <v>0</v>
      </c>
      <c r="AZ20" s="113">
        <f>VLOOKUP($A20,Alimentos!$A:$BA,52,FALSE)</f>
        <v>0</v>
      </c>
      <c r="BA20" s="113">
        <f>VLOOKUP($A20,Alimentos!$A:$BA,53,FALSE)</f>
        <v>0</v>
      </c>
      <c r="BB20" s="113">
        <f>VLOOKUP($A20,Alimentos!$A:$BC,54,FALSE)</f>
        <v>0</v>
      </c>
      <c r="BC20" s="113">
        <f>VLOOKUP($A20,Alimentos!$A:$BC,55,FALSE)</f>
        <v>0</v>
      </c>
    </row>
    <row r="21" spans="1:55" ht="17.25" thickBot="1" x14ac:dyDescent="0.3">
      <c r="A21" s="116" t="s">
        <v>60</v>
      </c>
      <c r="B21" s="117">
        <f>VLOOKUP($A21,Alimentos!$A:$BA,2,FALSE)</f>
        <v>0</v>
      </c>
      <c r="C21" s="118">
        <f>VLOOKUP($A21,Alimentos!$A:$BA,4,FALSE)</f>
        <v>0</v>
      </c>
      <c r="D21" s="119"/>
      <c r="E21" s="120">
        <f>VLOOKUP($A21,Alimentos!$A:$BA,5,FALSE)</f>
        <v>0</v>
      </c>
      <c r="F21" s="120">
        <f>VLOOKUP($A21,Alimentos!$A:$BA,6,FALSE)</f>
        <v>0</v>
      </c>
      <c r="G21" s="120">
        <f>VLOOKUP($A21,Alimentos!$A:$BA,7,FALSE)</f>
        <v>0</v>
      </c>
      <c r="H21" s="120">
        <f>VLOOKUP($A21,Alimentos!$A:$BA,8,FALSE)</f>
        <v>0</v>
      </c>
      <c r="I21" s="120">
        <f>VLOOKUP($A21,Alimentos!$A:$BA,9,FALSE)</f>
        <v>0</v>
      </c>
      <c r="J21" s="120">
        <f>VLOOKUP($A21,Alimentos!$A:$BA,10,FALSE)</f>
        <v>0</v>
      </c>
      <c r="K21" s="120">
        <f>VLOOKUP($A21,Alimentos!$A:$BA,11,FALSE)</f>
        <v>0</v>
      </c>
      <c r="L21" s="120">
        <f>VLOOKUP($A21,Alimentos!$A:$BA,12,FALSE)</f>
        <v>0</v>
      </c>
      <c r="M21" s="120">
        <f>VLOOKUP($A21,Alimentos!$A:$BA,13,FALSE)</f>
        <v>0</v>
      </c>
      <c r="N21" s="120">
        <f>VLOOKUP($A21,Alimentos!$A:$BA,14,FALSE)</f>
        <v>0</v>
      </c>
      <c r="O21" s="121">
        <f>VLOOKUP($A21,Alimentos!$A:$BA,15,FALSE)</f>
        <v>0</v>
      </c>
      <c r="P21" s="120">
        <f>VLOOKUP($A21,Alimentos!$A:$BA,16,FALSE)</f>
        <v>0</v>
      </c>
      <c r="Q21" s="120">
        <f>VLOOKUP($A21,Alimentos!$A:$BA,17,FALSE)</f>
        <v>0</v>
      </c>
      <c r="R21" s="120">
        <f>VLOOKUP($A21,Alimentos!$A:$BA,18,FALSE)</f>
        <v>0</v>
      </c>
      <c r="S21" s="120">
        <f>VLOOKUP($A21,Alimentos!$A:$BA,19,FALSE)</f>
        <v>0</v>
      </c>
      <c r="T21" s="120">
        <f>VLOOKUP($A21,Alimentos!$A:$BA,20,FALSE)</f>
        <v>0</v>
      </c>
      <c r="U21" s="120">
        <f>VLOOKUP($A21,Alimentos!$A:$BA,21,FALSE)</f>
        <v>0</v>
      </c>
      <c r="V21" s="120">
        <f>VLOOKUP($A21,Alimentos!$A:$BA,22,FALSE)</f>
        <v>0</v>
      </c>
      <c r="W21" s="122">
        <f>VLOOKUP($A21,Alimentos!$A:$BA,23,FALSE)</f>
        <v>0</v>
      </c>
      <c r="X21" s="122">
        <f>VLOOKUP($A21,Alimentos!$A:$BA,24,FALSE)</f>
        <v>0</v>
      </c>
      <c r="Y21" s="122">
        <f>VLOOKUP($A21,Alimentos!$A:$BA,25,FALSE)</f>
        <v>0</v>
      </c>
      <c r="Z21" s="122">
        <f>VLOOKUP($A21,Alimentos!$A:$BA,26,FALSE)</f>
        <v>0</v>
      </c>
      <c r="AA21" s="122">
        <f>VLOOKUP($A21,Alimentos!$A:$BA,27,FALSE)</f>
        <v>0</v>
      </c>
      <c r="AB21" s="122">
        <f>VLOOKUP($A21,Alimentos!$A:$BA,28,FALSE)</f>
        <v>0</v>
      </c>
      <c r="AC21" s="122">
        <f>VLOOKUP($A21,Alimentos!$A:$BA,29,FALSE)</f>
        <v>0</v>
      </c>
      <c r="AD21" s="122">
        <f>VLOOKUP($A21,Alimentos!$A:$BA,30,FALSE)</f>
        <v>0</v>
      </c>
      <c r="AE21" s="122">
        <f>VLOOKUP($A21,Alimentos!$A:$BA,31,FALSE)</f>
        <v>0</v>
      </c>
      <c r="AF21" s="123">
        <f>VLOOKUP($A21,Alimentos!$A:$BA,32,FALSE)</f>
        <v>0</v>
      </c>
      <c r="AG21" s="123">
        <f>VLOOKUP($A21,Alimentos!$A:$BA,33,FALSE)</f>
        <v>0</v>
      </c>
      <c r="AH21" s="123">
        <f>VLOOKUP($A21,Alimentos!$A:$BA,34,FALSE)</f>
        <v>0</v>
      </c>
      <c r="AI21" s="123">
        <f>VLOOKUP($A21,Alimentos!$A:$BA,35,FALSE)</f>
        <v>0</v>
      </c>
      <c r="AJ21" s="123">
        <f>VLOOKUP($A21,Alimentos!$A:$BA,36,FALSE)</f>
        <v>0</v>
      </c>
      <c r="AK21" s="123">
        <f>VLOOKUP($A21,Alimentos!$A:$BA,37,FALSE)</f>
        <v>0</v>
      </c>
      <c r="AL21" s="123">
        <f>VLOOKUP($A21,Alimentos!$A:$BA,38,FALSE)</f>
        <v>0</v>
      </c>
      <c r="AM21" s="123">
        <f>VLOOKUP($A21,Alimentos!$A:$BA,39,FALSE)</f>
        <v>0</v>
      </c>
      <c r="AN21" s="123">
        <f>VLOOKUP($A21,Alimentos!$A:$BA,40,FALSE)</f>
        <v>0</v>
      </c>
      <c r="AO21" s="123">
        <f>VLOOKUP($A21,Alimentos!$A:$BA,41,FALSE)</f>
        <v>0</v>
      </c>
      <c r="AP21" s="123">
        <f>VLOOKUP($A21,Alimentos!$A:$BA,42,FALSE)</f>
        <v>0</v>
      </c>
      <c r="AQ21" s="123">
        <f>VLOOKUP($A21,Alimentos!$A:$BA,43,FALSE)</f>
        <v>0</v>
      </c>
      <c r="AR21" s="123">
        <f>VLOOKUP($A21,Alimentos!$A:$BA,44,FALSE)</f>
        <v>0</v>
      </c>
      <c r="AS21" s="123">
        <f>VLOOKUP($A21,Alimentos!$A:$BA,45,FALSE)</f>
        <v>0</v>
      </c>
      <c r="AT21" s="219">
        <f>VLOOKUP($A21,Alimentos!$A:$BA,46,FALSE)</f>
        <v>0</v>
      </c>
      <c r="AU21" s="219">
        <f>VLOOKUP($A21,Alimentos!$A:$BA,47,FALSE)</f>
        <v>0</v>
      </c>
      <c r="AV21" s="219">
        <f>VLOOKUP($A21,Alimentos!$A:$BA,48,FALSE)</f>
        <v>0</v>
      </c>
      <c r="AW21" s="219">
        <f>VLOOKUP($A21,Alimentos!$A:$BA,49,FALSE)</f>
        <v>0</v>
      </c>
      <c r="AX21" s="219">
        <f>VLOOKUP($A21,Alimentos!$A:$BA,50,FALSE)</f>
        <v>0</v>
      </c>
      <c r="AY21" s="123">
        <f>VLOOKUP($A21,Alimentos!$A:$BA,51,FALSE)</f>
        <v>0</v>
      </c>
      <c r="AZ21" s="123">
        <f>VLOOKUP($A21,Alimentos!$A:$BA,52,FALSE)</f>
        <v>0</v>
      </c>
      <c r="BA21" s="123">
        <f>VLOOKUP($A21,Alimentos!$A:$BA,53,FALSE)</f>
        <v>0</v>
      </c>
      <c r="BB21" s="123">
        <f>VLOOKUP($A21,Alimentos!$A:$BC,54,FALSE)</f>
        <v>0</v>
      </c>
      <c r="BC21" s="123">
        <f>VLOOKUP($A21,Alimentos!$A:$BC,55,FALSE)</f>
        <v>0</v>
      </c>
    </row>
    <row r="22" spans="1:55" ht="17.25" thickTop="1" x14ac:dyDescent="0.25">
      <c r="E22" s="82"/>
      <c r="AF22" s="77"/>
      <c r="AG22" s="77"/>
      <c r="AH22" s="77"/>
      <c r="AI22" s="77"/>
    </row>
    <row r="23" spans="1:55" s="98" customFormat="1" x14ac:dyDescent="0.25">
      <c r="A23" s="98" t="s">
        <v>1</v>
      </c>
      <c r="B23" s="85" t="str">
        <f>B4</f>
        <v>R$/Kg MN</v>
      </c>
      <c r="C23" s="85" t="s">
        <v>30</v>
      </c>
      <c r="D23" s="85" t="s">
        <v>3</v>
      </c>
      <c r="E23" s="82" t="s">
        <v>30</v>
      </c>
      <c r="F23" s="85" t="s">
        <v>30</v>
      </c>
      <c r="G23" s="85" t="s">
        <v>30</v>
      </c>
      <c r="H23" s="85" t="s">
        <v>30</v>
      </c>
      <c r="I23" s="85" t="s">
        <v>30</v>
      </c>
      <c r="J23" s="94" t="s">
        <v>30</v>
      </c>
      <c r="K23" s="94" t="s">
        <v>30</v>
      </c>
      <c r="L23" s="94" t="s">
        <v>30</v>
      </c>
      <c r="M23" s="85" t="s">
        <v>30</v>
      </c>
      <c r="N23" s="85" t="s">
        <v>30</v>
      </c>
      <c r="O23" s="94" t="s">
        <v>31</v>
      </c>
      <c r="P23" s="94" t="s">
        <v>30</v>
      </c>
      <c r="Q23" s="94" t="s">
        <v>30</v>
      </c>
      <c r="R23" s="94" t="s">
        <v>30</v>
      </c>
      <c r="S23" s="85" t="s">
        <v>30</v>
      </c>
      <c r="T23" s="85" t="s">
        <v>30</v>
      </c>
      <c r="U23" s="94" t="s">
        <v>30</v>
      </c>
      <c r="V23" s="94" t="s">
        <v>30</v>
      </c>
      <c r="W23" s="85" t="s">
        <v>30</v>
      </c>
      <c r="X23" s="85" t="s">
        <v>30</v>
      </c>
      <c r="Y23" s="85" t="s">
        <v>30</v>
      </c>
      <c r="Z23" s="85" t="s">
        <v>30</v>
      </c>
      <c r="AA23" s="85" t="s">
        <v>30</v>
      </c>
      <c r="AB23" s="85" t="s">
        <v>30</v>
      </c>
      <c r="AC23" s="85" t="s">
        <v>30</v>
      </c>
      <c r="AD23" s="85" t="s">
        <v>30</v>
      </c>
      <c r="AE23" s="85" t="s">
        <v>30</v>
      </c>
      <c r="AF23" s="85" t="s">
        <v>49</v>
      </c>
      <c r="AG23" s="85" t="s">
        <v>49</v>
      </c>
      <c r="AH23" s="85" t="s">
        <v>49</v>
      </c>
      <c r="AI23" s="85" t="s">
        <v>49</v>
      </c>
      <c r="AJ23" s="85" t="s">
        <v>49</v>
      </c>
      <c r="AK23" s="85" t="s">
        <v>49</v>
      </c>
      <c r="AL23" s="85" t="s">
        <v>49</v>
      </c>
      <c r="AM23" s="85" t="s">
        <v>51</v>
      </c>
      <c r="AN23" s="85" t="s">
        <v>51</v>
      </c>
      <c r="AO23" s="85" t="s">
        <v>51</v>
      </c>
      <c r="AP23" s="85" t="s">
        <v>49</v>
      </c>
      <c r="AQ23" s="85" t="s">
        <v>49</v>
      </c>
      <c r="AR23" s="85" t="s">
        <v>49</v>
      </c>
      <c r="AS23" s="85" t="s">
        <v>173</v>
      </c>
      <c r="AT23" s="97" t="s">
        <v>228</v>
      </c>
      <c r="AU23" s="97" t="s">
        <v>230</v>
      </c>
      <c r="AV23" s="97" t="s">
        <v>231</v>
      </c>
      <c r="AW23" s="97" t="s">
        <v>227</v>
      </c>
      <c r="AX23" s="97" t="s">
        <v>232</v>
      </c>
      <c r="AY23" s="97" t="s">
        <v>234</v>
      </c>
      <c r="AZ23" s="97" t="s">
        <v>235</v>
      </c>
      <c r="BA23" s="97" t="s">
        <v>236</v>
      </c>
      <c r="BB23" s="173" t="s">
        <v>247</v>
      </c>
      <c r="BC23" s="173" t="s">
        <v>248</v>
      </c>
    </row>
    <row r="24" spans="1:55" s="98" customFormat="1" ht="17.25" thickBot="1" x14ac:dyDescent="0.3">
      <c r="A24" s="98" t="s">
        <v>5</v>
      </c>
      <c r="B24" s="85" t="s">
        <v>6</v>
      </c>
      <c r="C24" s="85" t="s">
        <v>66</v>
      </c>
      <c r="D24" s="85" t="s">
        <v>7</v>
      </c>
      <c r="E24" s="82" t="s">
        <v>7</v>
      </c>
      <c r="F24" s="85" t="s">
        <v>8</v>
      </c>
      <c r="G24" s="85" t="s">
        <v>9</v>
      </c>
      <c r="H24" s="95" t="s">
        <v>67</v>
      </c>
      <c r="I24" s="85" t="s">
        <v>10</v>
      </c>
      <c r="J24" s="94" t="s">
        <v>11</v>
      </c>
      <c r="K24" s="94" t="s">
        <v>112</v>
      </c>
      <c r="L24" s="94" t="s">
        <v>113</v>
      </c>
      <c r="M24" s="85" t="s">
        <v>12</v>
      </c>
      <c r="N24" s="85" t="s">
        <v>13</v>
      </c>
      <c r="O24" s="95" t="s">
        <v>14</v>
      </c>
      <c r="P24" s="94" t="s">
        <v>15</v>
      </c>
      <c r="Q24" s="94" t="s">
        <v>115</v>
      </c>
      <c r="R24" s="94" t="s">
        <v>114</v>
      </c>
      <c r="S24" s="93" t="s">
        <v>17</v>
      </c>
      <c r="T24" s="93" t="s">
        <v>18</v>
      </c>
      <c r="U24" s="94" t="s">
        <v>99</v>
      </c>
      <c r="V24" s="94" t="s">
        <v>102</v>
      </c>
      <c r="W24" s="96" t="s">
        <v>19</v>
      </c>
      <c r="X24" s="96" t="s">
        <v>20</v>
      </c>
      <c r="Y24" s="96" t="s">
        <v>21</v>
      </c>
      <c r="Z24" s="96" t="s">
        <v>22</v>
      </c>
      <c r="AA24" s="96" t="s">
        <v>23</v>
      </c>
      <c r="AB24" s="96" t="s">
        <v>24</v>
      </c>
      <c r="AC24" s="96" t="s">
        <v>25</v>
      </c>
      <c r="AD24" s="96" t="s">
        <v>26</v>
      </c>
      <c r="AE24" s="96" t="s">
        <v>27</v>
      </c>
      <c r="AF24" s="97" t="s">
        <v>37</v>
      </c>
      <c r="AG24" s="97" t="s">
        <v>38</v>
      </c>
      <c r="AH24" s="97" t="s">
        <v>41</v>
      </c>
      <c r="AI24" s="97" t="s">
        <v>43</v>
      </c>
      <c r="AJ24" s="97" t="s">
        <v>42</v>
      </c>
      <c r="AK24" s="97" t="s">
        <v>40</v>
      </c>
      <c r="AL24" s="97" t="s">
        <v>39</v>
      </c>
      <c r="AM24" s="97" t="s">
        <v>44</v>
      </c>
      <c r="AN24" s="97" t="s">
        <v>45</v>
      </c>
      <c r="AO24" s="97" t="s">
        <v>46</v>
      </c>
      <c r="AP24" s="97" t="s">
        <v>47</v>
      </c>
      <c r="AQ24" s="97" t="s">
        <v>48</v>
      </c>
      <c r="AR24" s="97" t="s">
        <v>170</v>
      </c>
      <c r="AS24" s="97" t="s">
        <v>171</v>
      </c>
      <c r="AT24" s="97" t="s">
        <v>229</v>
      </c>
      <c r="AU24" s="97" t="s">
        <v>229</v>
      </c>
      <c r="AV24" s="97" t="s">
        <v>229</v>
      </c>
      <c r="AW24" s="97" t="s">
        <v>100</v>
      </c>
      <c r="AX24" s="97" t="s">
        <v>233</v>
      </c>
      <c r="AY24" s="97" t="s">
        <v>233</v>
      </c>
      <c r="AZ24" s="97" t="s">
        <v>233</v>
      </c>
      <c r="BA24" s="97" t="s">
        <v>233</v>
      </c>
      <c r="BB24" s="173" t="s">
        <v>229</v>
      </c>
      <c r="BC24" s="173" t="s">
        <v>229</v>
      </c>
    </row>
    <row r="25" spans="1:55" ht="17.25" thickTop="1" x14ac:dyDescent="0.25">
      <c r="A25" s="124" t="str">
        <f>A6</f>
        <v>x</v>
      </c>
      <c r="B25" s="90">
        <f t="shared" ref="B25:B40" si="0">C25*B6</f>
        <v>0</v>
      </c>
      <c r="C25" s="125"/>
      <c r="D25" s="111" t="e">
        <f t="shared" ref="D25:D40" si="1">E25/E$42</f>
        <v>#DIV/0!</v>
      </c>
      <c r="E25" s="90">
        <f t="shared" ref="E25:E40" si="2">C25*E6</f>
        <v>0</v>
      </c>
      <c r="F25" s="109">
        <f t="shared" ref="F25:Q40" si="3">$E25*F6</f>
        <v>0</v>
      </c>
      <c r="G25" s="109">
        <f t="shared" si="3"/>
        <v>0</v>
      </c>
      <c r="H25" s="109">
        <f t="shared" si="3"/>
        <v>0</v>
      </c>
      <c r="I25" s="109">
        <f t="shared" si="3"/>
        <v>0</v>
      </c>
      <c r="J25" s="109">
        <f t="shared" si="3"/>
        <v>0</v>
      </c>
      <c r="K25" s="109">
        <f>IF(AT25="S",((((I6*K6*100)*0.9465)+4.5798)/100)*E25,IF(AT25="F",I6*K6*E25,0))</f>
        <v>0</v>
      </c>
      <c r="L25" s="109">
        <f>IF(AT25="S",((((I6*L6*100)*1.0083)+0.4502)/100)*E25,IF(AT25="F",I6*L6*E25,0))</f>
        <v>0</v>
      </c>
      <c r="M25" s="109">
        <f t="shared" ref="M25:U40" si="4">$E25*M6</f>
        <v>0</v>
      </c>
      <c r="N25" s="109">
        <f t="shared" si="4"/>
        <v>0</v>
      </c>
      <c r="O25" s="90">
        <f t="shared" si="4"/>
        <v>0</v>
      </c>
      <c r="P25" s="109">
        <f t="shared" si="4"/>
        <v>0</v>
      </c>
      <c r="Q25" s="109">
        <f t="shared" si="4"/>
        <v>0</v>
      </c>
      <c r="R25" s="109">
        <f t="shared" si="4"/>
        <v>0</v>
      </c>
      <c r="S25" s="109">
        <f t="shared" si="4"/>
        <v>0</v>
      </c>
      <c r="T25" s="109">
        <f t="shared" si="4"/>
        <v>0</v>
      </c>
      <c r="U25" s="109">
        <f t="shared" si="4"/>
        <v>0</v>
      </c>
      <c r="V25" s="109">
        <f>V6</f>
        <v>0</v>
      </c>
      <c r="W25" s="109">
        <f t="shared" ref="W25:AS36" si="5">$E25*W6</f>
        <v>0</v>
      </c>
      <c r="X25" s="109">
        <f t="shared" si="5"/>
        <v>0</v>
      </c>
      <c r="Y25" s="109">
        <f t="shared" si="5"/>
        <v>0</v>
      </c>
      <c r="Z25" s="109">
        <f t="shared" si="5"/>
        <v>0</v>
      </c>
      <c r="AA25" s="109">
        <f t="shared" si="5"/>
        <v>0</v>
      </c>
      <c r="AB25" s="109">
        <f t="shared" si="5"/>
        <v>0</v>
      </c>
      <c r="AC25" s="109">
        <f t="shared" si="5"/>
        <v>0</v>
      </c>
      <c r="AD25" s="109">
        <f t="shared" si="5"/>
        <v>0</v>
      </c>
      <c r="AE25" s="109">
        <f t="shared" si="5"/>
        <v>0</v>
      </c>
      <c r="AF25" s="126">
        <f t="shared" si="5"/>
        <v>0</v>
      </c>
      <c r="AG25" s="126">
        <f t="shared" si="5"/>
        <v>0</v>
      </c>
      <c r="AH25" s="126">
        <f t="shared" si="5"/>
        <v>0</v>
      </c>
      <c r="AI25" s="126">
        <f t="shared" si="5"/>
        <v>0</v>
      </c>
      <c r="AJ25" s="126">
        <f t="shared" si="5"/>
        <v>0</v>
      </c>
      <c r="AK25" s="126">
        <f t="shared" si="5"/>
        <v>0</v>
      </c>
      <c r="AL25" s="126">
        <f t="shared" si="5"/>
        <v>0</v>
      </c>
      <c r="AM25" s="126">
        <f t="shared" si="5"/>
        <v>0</v>
      </c>
      <c r="AN25" s="126">
        <f t="shared" si="5"/>
        <v>0</v>
      </c>
      <c r="AO25" s="126">
        <f t="shared" si="5"/>
        <v>0</v>
      </c>
      <c r="AP25" s="126">
        <f t="shared" si="5"/>
        <v>0</v>
      </c>
      <c r="AQ25" s="126">
        <f t="shared" si="5"/>
        <v>0</v>
      </c>
      <c r="AR25" s="126">
        <f t="shared" si="5"/>
        <v>0</v>
      </c>
      <c r="AS25" s="126">
        <f t="shared" si="5"/>
        <v>0</v>
      </c>
      <c r="AT25" s="220">
        <f>AT6*$F25</f>
        <v>0</v>
      </c>
      <c r="AU25" s="220">
        <f t="shared" ref="AU25:AV25" si="6">AU6*$F25</f>
        <v>0</v>
      </c>
      <c r="AV25" s="220">
        <f t="shared" si="6"/>
        <v>0</v>
      </c>
      <c r="AW25" s="220">
        <f t="shared" ref="AW25" si="7">AW6</f>
        <v>0</v>
      </c>
      <c r="AX25" s="220">
        <f t="shared" ref="AX25:BA25" si="8">AX6</f>
        <v>0</v>
      </c>
      <c r="AY25" s="220">
        <f t="shared" si="8"/>
        <v>0</v>
      </c>
      <c r="AZ25" s="220">
        <f t="shared" si="8"/>
        <v>0</v>
      </c>
      <c r="BA25" s="220">
        <f t="shared" si="8"/>
        <v>0</v>
      </c>
      <c r="BB25" s="220">
        <f t="shared" ref="BB25:BC25" si="9">BB6</f>
        <v>0</v>
      </c>
      <c r="BC25" s="220">
        <f t="shared" si="9"/>
        <v>0</v>
      </c>
    </row>
    <row r="26" spans="1:55" x14ac:dyDescent="0.25">
      <c r="A26" s="124" t="str">
        <f>A7</f>
        <v>x</v>
      </c>
      <c r="B26" s="90">
        <f t="shared" si="0"/>
        <v>0</v>
      </c>
      <c r="C26" s="127"/>
      <c r="D26" s="111" t="e">
        <f t="shared" si="1"/>
        <v>#DIV/0!</v>
      </c>
      <c r="E26" s="90">
        <f t="shared" si="2"/>
        <v>0</v>
      </c>
      <c r="F26" s="109">
        <f t="shared" si="3"/>
        <v>0</v>
      </c>
      <c r="G26" s="109">
        <f t="shared" si="3"/>
        <v>0</v>
      </c>
      <c r="H26" s="109">
        <f t="shared" si="3"/>
        <v>0</v>
      </c>
      <c r="I26" s="109">
        <f t="shared" si="3"/>
        <v>0</v>
      </c>
      <c r="J26" s="109">
        <f t="shared" si="3"/>
        <v>0</v>
      </c>
      <c r="K26" s="109">
        <f t="shared" ref="K26:K40" si="10">IF(AT26="S",((((I7*K7*100)*0.9465)+4.5798)/100)*E26,IF(AT26="F",I7*K7*E26,0))</f>
        <v>0</v>
      </c>
      <c r="L26" s="109">
        <f t="shared" ref="L26:L40" si="11">IF(AT26="S",((((I7*L7*100)*1.0083)+0.4502)/100)*E26,IF(AT26="F",I7*L7*E26,0))</f>
        <v>0</v>
      </c>
      <c r="M26" s="109">
        <f t="shared" si="4"/>
        <v>0</v>
      </c>
      <c r="N26" s="109">
        <f t="shared" si="4"/>
        <v>0</v>
      </c>
      <c r="O26" s="90">
        <f t="shared" si="4"/>
        <v>0</v>
      </c>
      <c r="P26" s="109">
        <f t="shared" si="4"/>
        <v>0</v>
      </c>
      <c r="Q26" s="109">
        <f t="shared" si="4"/>
        <v>0</v>
      </c>
      <c r="R26" s="109">
        <f t="shared" si="4"/>
        <v>0</v>
      </c>
      <c r="S26" s="109">
        <f t="shared" si="4"/>
        <v>0</v>
      </c>
      <c r="T26" s="109">
        <f t="shared" si="4"/>
        <v>0</v>
      </c>
      <c r="U26" s="109">
        <f t="shared" si="4"/>
        <v>0</v>
      </c>
      <c r="V26" s="109">
        <f t="shared" ref="V26:V40" si="12">V7</f>
        <v>0</v>
      </c>
      <c r="W26" s="109">
        <f t="shared" si="5"/>
        <v>0</v>
      </c>
      <c r="X26" s="109">
        <f t="shared" si="5"/>
        <v>0</v>
      </c>
      <c r="Y26" s="109">
        <f t="shared" si="5"/>
        <v>0</v>
      </c>
      <c r="Z26" s="109">
        <f t="shared" si="5"/>
        <v>0</v>
      </c>
      <c r="AA26" s="109">
        <f t="shared" si="5"/>
        <v>0</v>
      </c>
      <c r="AB26" s="109">
        <f t="shared" si="5"/>
        <v>0</v>
      </c>
      <c r="AC26" s="109">
        <f t="shared" si="5"/>
        <v>0</v>
      </c>
      <c r="AD26" s="109">
        <f t="shared" si="5"/>
        <v>0</v>
      </c>
      <c r="AE26" s="109">
        <f t="shared" si="5"/>
        <v>0</v>
      </c>
      <c r="AF26" s="126">
        <f t="shared" si="5"/>
        <v>0</v>
      </c>
      <c r="AG26" s="126">
        <f t="shared" si="5"/>
        <v>0</v>
      </c>
      <c r="AH26" s="126">
        <f t="shared" si="5"/>
        <v>0</v>
      </c>
      <c r="AI26" s="126">
        <f t="shared" si="5"/>
        <v>0</v>
      </c>
      <c r="AJ26" s="126">
        <f t="shared" si="5"/>
        <v>0</v>
      </c>
      <c r="AK26" s="126">
        <f t="shared" si="5"/>
        <v>0</v>
      </c>
      <c r="AL26" s="126">
        <f t="shared" si="5"/>
        <v>0</v>
      </c>
      <c r="AM26" s="126">
        <f t="shared" si="5"/>
        <v>0</v>
      </c>
      <c r="AN26" s="126">
        <f t="shared" si="5"/>
        <v>0</v>
      </c>
      <c r="AO26" s="126">
        <f t="shared" si="5"/>
        <v>0</v>
      </c>
      <c r="AP26" s="126">
        <f t="shared" si="5"/>
        <v>0</v>
      </c>
      <c r="AQ26" s="126">
        <f t="shared" si="5"/>
        <v>0</v>
      </c>
      <c r="AR26" s="126">
        <f t="shared" si="5"/>
        <v>0</v>
      </c>
      <c r="AS26" s="126">
        <f t="shared" si="5"/>
        <v>0</v>
      </c>
      <c r="AT26" s="220">
        <f t="shared" ref="AT26:AV26" si="13">AT7*$F26</f>
        <v>0</v>
      </c>
      <c r="AU26" s="220">
        <f t="shared" si="13"/>
        <v>0</v>
      </c>
      <c r="AV26" s="220">
        <f t="shared" si="13"/>
        <v>0</v>
      </c>
      <c r="AW26" s="220">
        <f t="shared" ref="AW26" si="14">AW7</f>
        <v>0</v>
      </c>
      <c r="AX26" s="220">
        <f t="shared" ref="AX26:BA40" si="15">AX7</f>
        <v>0</v>
      </c>
      <c r="AY26" s="220">
        <f t="shared" si="15"/>
        <v>0</v>
      </c>
      <c r="AZ26" s="220">
        <f t="shared" si="15"/>
        <v>0</v>
      </c>
      <c r="BA26" s="220">
        <f t="shared" si="15"/>
        <v>0</v>
      </c>
      <c r="BB26" s="220">
        <f t="shared" ref="BB26:BC26" si="16">BB7</f>
        <v>0</v>
      </c>
      <c r="BC26" s="220">
        <f t="shared" si="16"/>
        <v>0</v>
      </c>
    </row>
    <row r="27" spans="1:55" x14ac:dyDescent="0.25">
      <c r="A27" s="124" t="str">
        <f>A8</f>
        <v>x</v>
      </c>
      <c r="B27" s="90">
        <f t="shared" si="0"/>
        <v>0</v>
      </c>
      <c r="C27" s="127"/>
      <c r="D27" s="111" t="e">
        <f t="shared" si="1"/>
        <v>#DIV/0!</v>
      </c>
      <c r="E27" s="90">
        <f t="shared" si="2"/>
        <v>0</v>
      </c>
      <c r="F27" s="109">
        <f t="shared" si="3"/>
        <v>0</v>
      </c>
      <c r="G27" s="109">
        <f t="shared" si="3"/>
        <v>0</v>
      </c>
      <c r="H27" s="109">
        <f t="shared" si="3"/>
        <v>0</v>
      </c>
      <c r="I27" s="109">
        <f t="shared" si="3"/>
        <v>0</v>
      </c>
      <c r="J27" s="109">
        <f t="shared" si="3"/>
        <v>0</v>
      </c>
      <c r="K27" s="109">
        <f t="shared" si="10"/>
        <v>0</v>
      </c>
      <c r="L27" s="109">
        <f t="shared" si="11"/>
        <v>0</v>
      </c>
      <c r="M27" s="109">
        <f t="shared" si="4"/>
        <v>0</v>
      </c>
      <c r="N27" s="109">
        <f t="shared" si="4"/>
        <v>0</v>
      </c>
      <c r="O27" s="90">
        <f t="shared" si="4"/>
        <v>0</v>
      </c>
      <c r="P27" s="109">
        <f t="shared" si="4"/>
        <v>0</v>
      </c>
      <c r="Q27" s="109">
        <f t="shared" si="4"/>
        <v>0</v>
      </c>
      <c r="R27" s="109">
        <f t="shared" si="4"/>
        <v>0</v>
      </c>
      <c r="S27" s="109">
        <f t="shared" si="4"/>
        <v>0</v>
      </c>
      <c r="T27" s="109">
        <f t="shared" si="4"/>
        <v>0</v>
      </c>
      <c r="U27" s="109">
        <f t="shared" si="4"/>
        <v>0</v>
      </c>
      <c r="V27" s="109">
        <f t="shared" si="12"/>
        <v>0</v>
      </c>
      <c r="W27" s="109">
        <f t="shared" si="5"/>
        <v>0</v>
      </c>
      <c r="X27" s="109">
        <f t="shared" si="5"/>
        <v>0</v>
      </c>
      <c r="Y27" s="109">
        <f t="shared" si="5"/>
        <v>0</v>
      </c>
      <c r="Z27" s="109">
        <f t="shared" si="5"/>
        <v>0</v>
      </c>
      <c r="AA27" s="109">
        <f t="shared" si="5"/>
        <v>0</v>
      </c>
      <c r="AB27" s="109">
        <f t="shared" si="5"/>
        <v>0</v>
      </c>
      <c r="AC27" s="109">
        <f t="shared" si="5"/>
        <v>0</v>
      </c>
      <c r="AD27" s="109">
        <f t="shared" si="5"/>
        <v>0</v>
      </c>
      <c r="AE27" s="109">
        <f t="shared" si="5"/>
        <v>0</v>
      </c>
      <c r="AF27" s="126">
        <f t="shared" si="5"/>
        <v>0</v>
      </c>
      <c r="AG27" s="126">
        <f t="shared" si="5"/>
        <v>0</v>
      </c>
      <c r="AH27" s="126">
        <f t="shared" si="5"/>
        <v>0</v>
      </c>
      <c r="AI27" s="126">
        <f t="shared" si="5"/>
        <v>0</v>
      </c>
      <c r="AJ27" s="126">
        <f t="shared" si="5"/>
        <v>0</v>
      </c>
      <c r="AK27" s="126">
        <f t="shared" si="5"/>
        <v>0</v>
      </c>
      <c r="AL27" s="126">
        <f t="shared" si="5"/>
        <v>0</v>
      </c>
      <c r="AM27" s="126">
        <f t="shared" si="5"/>
        <v>0</v>
      </c>
      <c r="AN27" s="126">
        <f t="shared" si="5"/>
        <v>0</v>
      </c>
      <c r="AO27" s="126">
        <f t="shared" si="5"/>
        <v>0</v>
      </c>
      <c r="AP27" s="126">
        <f t="shared" si="5"/>
        <v>0</v>
      </c>
      <c r="AQ27" s="126">
        <f t="shared" si="5"/>
        <v>0</v>
      </c>
      <c r="AR27" s="126">
        <f t="shared" si="5"/>
        <v>0</v>
      </c>
      <c r="AS27" s="126">
        <f t="shared" si="5"/>
        <v>0</v>
      </c>
      <c r="AT27" s="220">
        <f t="shared" ref="AT27:AV27" si="17">AT8*$F27</f>
        <v>0</v>
      </c>
      <c r="AU27" s="220">
        <f t="shared" si="17"/>
        <v>0</v>
      </c>
      <c r="AV27" s="220">
        <f t="shared" si="17"/>
        <v>0</v>
      </c>
      <c r="AW27" s="220">
        <f t="shared" ref="AW27" si="18">AW8</f>
        <v>0</v>
      </c>
      <c r="AX27" s="220">
        <f t="shared" si="15"/>
        <v>0</v>
      </c>
      <c r="AY27" s="220">
        <f t="shared" si="15"/>
        <v>0</v>
      </c>
      <c r="AZ27" s="220">
        <f t="shared" si="15"/>
        <v>0</v>
      </c>
      <c r="BA27" s="220">
        <f t="shared" si="15"/>
        <v>0</v>
      </c>
      <c r="BB27" s="220">
        <f t="shared" ref="BB27:BC27" si="19">BB8</f>
        <v>0</v>
      </c>
      <c r="BC27" s="220">
        <f t="shared" si="19"/>
        <v>0</v>
      </c>
    </row>
    <row r="28" spans="1:55" x14ac:dyDescent="0.25">
      <c r="A28" s="124" t="str">
        <f>A9</f>
        <v>x</v>
      </c>
      <c r="B28" s="90">
        <f t="shared" si="0"/>
        <v>0</v>
      </c>
      <c r="C28" s="127"/>
      <c r="D28" s="111" t="e">
        <f t="shared" si="1"/>
        <v>#DIV/0!</v>
      </c>
      <c r="E28" s="90">
        <f t="shared" si="2"/>
        <v>0</v>
      </c>
      <c r="F28" s="109">
        <f t="shared" si="3"/>
        <v>0</v>
      </c>
      <c r="G28" s="109">
        <f t="shared" si="3"/>
        <v>0</v>
      </c>
      <c r="H28" s="109">
        <f t="shared" si="3"/>
        <v>0</v>
      </c>
      <c r="I28" s="109">
        <f t="shared" si="3"/>
        <v>0</v>
      </c>
      <c r="J28" s="109">
        <f t="shared" si="3"/>
        <v>0</v>
      </c>
      <c r="K28" s="109">
        <f t="shared" si="10"/>
        <v>0</v>
      </c>
      <c r="L28" s="109">
        <f t="shared" si="11"/>
        <v>0</v>
      </c>
      <c r="M28" s="109">
        <f t="shared" si="4"/>
        <v>0</v>
      </c>
      <c r="N28" s="109">
        <f t="shared" si="4"/>
        <v>0</v>
      </c>
      <c r="O28" s="90">
        <f t="shared" si="4"/>
        <v>0</v>
      </c>
      <c r="P28" s="109">
        <f t="shared" si="4"/>
        <v>0</v>
      </c>
      <c r="Q28" s="109">
        <f t="shared" si="4"/>
        <v>0</v>
      </c>
      <c r="R28" s="109">
        <f t="shared" si="4"/>
        <v>0</v>
      </c>
      <c r="S28" s="109">
        <f t="shared" si="4"/>
        <v>0</v>
      </c>
      <c r="T28" s="109">
        <f t="shared" si="4"/>
        <v>0</v>
      </c>
      <c r="U28" s="109">
        <f t="shared" si="4"/>
        <v>0</v>
      </c>
      <c r="V28" s="109">
        <f t="shared" si="12"/>
        <v>0</v>
      </c>
      <c r="W28" s="109">
        <f t="shared" si="5"/>
        <v>0</v>
      </c>
      <c r="X28" s="109">
        <f t="shared" si="5"/>
        <v>0</v>
      </c>
      <c r="Y28" s="109">
        <f t="shared" si="5"/>
        <v>0</v>
      </c>
      <c r="Z28" s="109">
        <f t="shared" si="5"/>
        <v>0</v>
      </c>
      <c r="AA28" s="109">
        <f t="shared" si="5"/>
        <v>0</v>
      </c>
      <c r="AB28" s="109">
        <f t="shared" si="5"/>
        <v>0</v>
      </c>
      <c r="AC28" s="109">
        <f t="shared" si="5"/>
        <v>0</v>
      </c>
      <c r="AD28" s="109">
        <f t="shared" si="5"/>
        <v>0</v>
      </c>
      <c r="AE28" s="109">
        <f t="shared" si="5"/>
        <v>0</v>
      </c>
      <c r="AF28" s="126">
        <f t="shared" si="5"/>
        <v>0</v>
      </c>
      <c r="AG28" s="126">
        <f t="shared" si="5"/>
        <v>0</v>
      </c>
      <c r="AH28" s="126">
        <f t="shared" si="5"/>
        <v>0</v>
      </c>
      <c r="AI28" s="126">
        <f t="shared" si="5"/>
        <v>0</v>
      </c>
      <c r="AJ28" s="126">
        <f t="shared" si="5"/>
        <v>0</v>
      </c>
      <c r="AK28" s="126">
        <f t="shared" si="5"/>
        <v>0</v>
      </c>
      <c r="AL28" s="126">
        <f t="shared" si="5"/>
        <v>0</v>
      </c>
      <c r="AM28" s="126">
        <f t="shared" si="5"/>
        <v>0</v>
      </c>
      <c r="AN28" s="126">
        <f t="shared" si="5"/>
        <v>0</v>
      </c>
      <c r="AO28" s="126">
        <f t="shared" si="5"/>
        <v>0</v>
      </c>
      <c r="AP28" s="126">
        <f t="shared" si="5"/>
        <v>0</v>
      </c>
      <c r="AQ28" s="126">
        <f t="shared" si="5"/>
        <v>0</v>
      </c>
      <c r="AR28" s="126">
        <f t="shared" si="5"/>
        <v>0</v>
      </c>
      <c r="AS28" s="126">
        <f t="shared" si="5"/>
        <v>0</v>
      </c>
      <c r="AT28" s="220">
        <f t="shared" ref="AT28:AV28" si="20">AT9*$F28</f>
        <v>0</v>
      </c>
      <c r="AU28" s="220">
        <f t="shared" si="20"/>
        <v>0</v>
      </c>
      <c r="AV28" s="220">
        <f t="shared" si="20"/>
        <v>0</v>
      </c>
      <c r="AW28" s="220">
        <f t="shared" ref="AW28" si="21">AW9</f>
        <v>0</v>
      </c>
      <c r="AX28" s="220">
        <f t="shared" si="15"/>
        <v>0</v>
      </c>
      <c r="AY28" s="220">
        <f t="shared" si="15"/>
        <v>0</v>
      </c>
      <c r="AZ28" s="220">
        <f t="shared" si="15"/>
        <v>0</v>
      </c>
      <c r="BA28" s="220">
        <f t="shared" si="15"/>
        <v>0</v>
      </c>
      <c r="BB28" s="220">
        <f t="shared" ref="BB28:BC28" si="22">BB9</f>
        <v>0</v>
      </c>
      <c r="BC28" s="220">
        <f t="shared" si="22"/>
        <v>0</v>
      </c>
    </row>
    <row r="29" spans="1:55" x14ac:dyDescent="0.25">
      <c r="A29" s="124" t="str">
        <f>A10</f>
        <v>x</v>
      </c>
      <c r="B29" s="90">
        <f t="shared" si="0"/>
        <v>0</v>
      </c>
      <c r="C29" s="127"/>
      <c r="D29" s="111" t="e">
        <f t="shared" si="1"/>
        <v>#DIV/0!</v>
      </c>
      <c r="E29" s="90">
        <f t="shared" si="2"/>
        <v>0</v>
      </c>
      <c r="F29" s="109">
        <f t="shared" si="3"/>
        <v>0</v>
      </c>
      <c r="G29" s="109">
        <f t="shared" si="3"/>
        <v>0</v>
      </c>
      <c r="H29" s="109">
        <f t="shared" si="3"/>
        <v>0</v>
      </c>
      <c r="I29" s="109">
        <f t="shared" si="3"/>
        <v>0</v>
      </c>
      <c r="J29" s="109">
        <f t="shared" si="3"/>
        <v>0</v>
      </c>
      <c r="K29" s="109">
        <f t="shared" si="10"/>
        <v>0</v>
      </c>
      <c r="L29" s="109">
        <f t="shared" si="11"/>
        <v>0</v>
      </c>
      <c r="M29" s="109">
        <f t="shared" si="4"/>
        <v>0</v>
      </c>
      <c r="N29" s="109">
        <f t="shared" si="4"/>
        <v>0</v>
      </c>
      <c r="O29" s="90">
        <f t="shared" si="4"/>
        <v>0</v>
      </c>
      <c r="P29" s="109">
        <f t="shared" si="4"/>
        <v>0</v>
      </c>
      <c r="Q29" s="109">
        <f t="shared" si="4"/>
        <v>0</v>
      </c>
      <c r="R29" s="109">
        <f t="shared" si="4"/>
        <v>0</v>
      </c>
      <c r="S29" s="109">
        <f t="shared" si="4"/>
        <v>0</v>
      </c>
      <c r="T29" s="109">
        <f t="shared" si="4"/>
        <v>0</v>
      </c>
      <c r="U29" s="109">
        <f t="shared" si="4"/>
        <v>0</v>
      </c>
      <c r="V29" s="109">
        <f t="shared" si="12"/>
        <v>0</v>
      </c>
      <c r="W29" s="109">
        <f t="shared" si="5"/>
        <v>0</v>
      </c>
      <c r="X29" s="109">
        <f t="shared" si="5"/>
        <v>0</v>
      </c>
      <c r="Y29" s="109">
        <f t="shared" si="5"/>
        <v>0</v>
      </c>
      <c r="Z29" s="109">
        <f t="shared" si="5"/>
        <v>0</v>
      </c>
      <c r="AA29" s="109">
        <f t="shared" si="5"/>
        <v>0</v>
      </c>
      <c r="AB29" s="109">
        <f t="shared" si="5"/>
        <v>0</v>
      </c>
      <c r="AC29" s="109">
        <f t="shared" si="5"/>
        <v>0</v>
      </c>
      <c r="AD29" s="109">
        <f t="shared" si="5"/>
        <v>0</v>
      </c>
      <c r="AE29" s="109">
        <f t="shared" si="5"/>
        <v>0</v>
      </c>
      <c r="AF29" s="126">
        <f t="shared" si="5"/>
        <v>0</v>
      </c>
      <c r="AG29" s="126">
        <f t="shared" si="5"/>
        <v>0</v>
      </c>
      <c r="AH29" s="126">
        <f t="shared" si="5"/>
        <v>0</v>
      </c>
      <c r="AI29" s="126">
        <f t="shared" si="5"/>
        <v>0</v>
      </c>
      <c r="AJ29" s="126">
        <f t="shared" si="5"/>
        <v>0</v>
      </c>
      <c r="AK29" s="126">
        <f t="shared" si="5"/>
        <v>0</v>
      </c>
      <c r="AL29" s="126">
        <f t="shared" si="5"/>
        <v>0</v>
      </c>
      <c r="AM29" s="126">
        <f t="shared" si="5"/>
        <v>0</v>
      </c>
      <c r="AN29" s="126">
        <f t="shared" si="5"/>
        <v>0</v>
      </c>
      <c r="AO29" s="126">
        <f t="shared" si="5"/>
        <v>0</v>
      </c>
      <c r="AP29" s="126">
        <f t="shared" si="5"/>
        <v>0</v>
      </c>
      <c r="AQ29" s="126">
        <f t="shared" si="5"/>
        <v>0</v>
      </c>
      <c r="AR29" s="126">
        <f t="shared" si="5"/>
        <v>0</v>
      </c>
      <c r="AS29" s="126">
        <f t="shared" si="5"/>
        <v>0</v>
      </c>
      <c r="AT29" s="220">
        <f t="shared" ref="AT29:AV29" si="23">AT10*$F29</f>
        <v>0</v>
      </c>
      <c r="AU29" s="220">
        <f t="shared" si="23"/>
        <v>0</v>
      </c>
      <c r="AV29" s="220">
        <f t="shared" si="23"/>
        <v>0</v>
      </c>
      <c r="AW29" s="220">
        <f t="shared" ref="AW29" si="24">AW10</f>
        <v>0</v>
      </c>
      <c r="AX29" s="220">
        <f t="shared" si="15"/>
        <v>0</v>
      </c>
      <c r="AY29" s="220">
        <f t="shared" si="15"/>
        <v>0</v>
      </c>
      <c r="AZ29" s="220">
        <f t="shared" si="15"/>
        <v>0</v>
      </c>
      <c r="BA29" s="220">
        <f t="shared" si="15"/>
        <v>0</v>
      </c>
      <c r="BB29" s="220">
        <f t="shared" ref="BB29:BC29" si="25">BB10</f>
        <v>0</v>
      </c>
      <c r="BC29" s="220">
        <f t="shared" si="25"/>
        <v>0</v>
      </c>
    </row>
    <row r="30" spans="1:55" x14ac:dyDescent="0.25">
      <c r="A30" s="124" t="str">
        <f t="shared" ref="A30:A40" si="26">A11</f>
        <v>x</v>
      </c>
      <c r="B30" s="90">
        <f t="shared" si="0"/>
        <v>0</v>
      </c>
      <c r="C30" s="127"/>
      <c r="D30" s="111" t="e">
        <f t="shared" si="1"/>
        <v>#DIV/0!</v>
      </c>
      <c r="E30" s="90">
        <f t="shared" si="2"/>
        <v>0</v>
      </c>
      <c r="F30" s="109">
        <f t="shared" si="3"/>
        <v>0</v>
      </c>
      <c r="G30" s="109">
        <f t="shared" si="3"/>
        <v>0</v>
      </c>
      <c r="H30" s="109">
        <f t="shared" si="3"/>
        <v>0</v>
      </c>
      <c r="I30" s="109">
        <f t="shared" si="3"/>
        <v>0</v>
      </c>
      <c r="J30" s="109">
        <f t="shared" si="3"/>
        <v>0</v>
      </c>
      <c r="K30" s="109">
        <f t="shared" si="10"/>
        <v>0</v>
      </c>
      <c r="L30" s="109">
        <f t="shared" si="11"/>
        <v>0</v>
      </c>
      <c r="M30" s="109">
        <f t="shared" si="4"/>
        <v>0</v>
      </c>
      <c r="N30" s="109">
        <f t="shared" si="4"/>
        <v>0</v>
      </c>
      <c r="O30" s="90">
        <f t="shared" si="4"/>
        <v>0</v>
      </c>
      <c r="P30" s="109">
        <f t="shared" si="4"/>
        <v>0</v>
      </c>
      <c r="Q30" s="109">
        <f t="shared" si="4"/>
        <v>0</v>
      </c>
      <c r="R30" s="109">
        <f t="shared" si="4"/>
        <v>0</v>
      </c>
      <c r="S30" s="109">
        <f t="shared" si="4"/>
        <v>0</v>
      </c>
      <c r="T30" s="109">
        <f t="shared" si="4"/>
        <v>0</v>
      </c>
      <c r="U30" s="109">
        <f t="shared" si="4"/>
        <v>0</v>
      </c>
      <c r="V30" s="109">
        <f t="shared" si="12"/>
        <v>0</v>
      </c>
      <c r="W30" s="109">
        <f t="shared" si="5"/>
        <v>0</v>
      </c>
      <c r="X30" s="109">
        <f t="shared" si="5"/>
        <v>0</v>
      </c>
      <c r="Y30" s="109">
        <f t="shared" si="5"/>
        <v>0</v>
      </c>
      <c r="Z30" s="109">
        <f t="shared" si="5"/>
        <v>0</v>
      </c>
      <c r="AA30" s="109">
        <f t="shared" si="5"/>
        <v>0</v>
      </c>
      <c r="AB30" s="109">
        <f t="shared" si="5"/>
        <v>0</v>
      </c>
      <c r="AC30" s="109">
        <f t="shared" si="5"/>
        <v>0</v>
      </c>
      <c r="AD30" s="109">
        <f t="shared" si="5"/>
        <v>0</v>
      </c>
      <c r="AE30" s="109">
        <f t="shared" si="5"/>
        <v>0</v>
      </c>
      <c r="AF30" s="126">
        <f t="shared" si="5"/>
        <v>0</v>
      </c>
      <c r="AG30" s="126">
        <f t="shared" si="5"/>
        <v>0</v>
      </c>
      <c r="AH30" s="126">
        <f t="shared" si="5"/>
        <v>0</v>
      </c>
      <c r="AI30" s="126">
        <f t="shared" si="5"/>
        <v>0</v>
      </c>
      <c r="AJ30" s="126">
        <f t="shared" si="5"/>
        <v>0</v>
      </c>
      <c r="AK30" s="126">
        <f t="shared" si="5"/>
        <v>0</v>
      </c>
      <c r="AL30" s="126">
        <f t="shared" si="5"/>
        <v>0</v>
      </c>
      <c r="AM30" s="126">
        <f t="shared" si="5"/>
        <v>0</v>
      </c>
      <c r="AN30" s="126">
        <f t="shared" si="5"/>
        <v>0</v>
      </c>
      <c r="AO30" s="126">
        <f t="shared" si="5"/>
        <v>0</v>
      </c>
      <c r="AP30" s="126">
        <f t="shared" si="5"/>
        <v>0</v>
      </c>
      <c r="AQ30" s="126">
        <f t="shared" si="5"/>
        <v>0</v>
      </c>
      <c r="AR30" s="126">
        <f t="shared" si="5"/>
        <v>0</v>
      </c>
      <c r="AS30" s="126">
        <f t="shared" si="5"/>
        <v>0</v>
      </c>
      <c r="AT30" s="220">
        <f t="shared" ref="AT30:AV30" si="27">AT11*$F30</f>
        <v>0</v>
      </c>
      <c r="AU30" s="220">
        <f t="shared" si="27"/>
        <v>0</v>
      </c>
      <c r="AV30" s="220">
        <f t="shared" si="27"/>
        <v>0</v>
      </c>
      <c r="AW30" s="220">
        <f t="shared" ref="AW30" si="28">AW11</f>
        <v>0</v>
      </c>
      <c r="AX30" s="220">
        <f t="shared" si="15"/>
        <v>0</v>
      </c>
      <c r="AY30" s="220">
        <f t="shared" si="15"/>
        <v>0</v>
      </c>
      <c r="AZ30" s="220">
        <f t="shared" si="15"/>
        <v>0</v>
      </c>
      <c r="BA30" s="220">
        <f t="shared" si="15"/>
        <v>0</v>
      </c>
      <c r="BB30" s="220">
        <f t="shared" ref="BB30:BC30" si="29">BB11</f>
        <v>0</v>
      </c>
      <c r="BC30" s="220">
        <f t="shared" si="29"/>
        <v>0</v>
      </c>
    </row>
    <row r="31" spans="1:55" x14ac:dyDescent="0.25">
      <c r="A31" s="124" t="str">
        <f t="shared" si="26"/>
        <v>x</v>
      </c>
      <c r="B31" s="90">
        <f t="shared" si="0"/>
        <v>0</v>
      </c>
      <c r="C31" s="127"/>
      <c r="D31" s="111" t="e">
        <f t="shared" si="1"/>
        <v>#DIV/0!</v>
      </c>
      <c r="E31" s="90">
        <f t="shared" si="2"/>
        <v>0</v>
      </c>
      <c r="F31" s="109">
        <f t="shared" si="3"/>
        <v>0</v>
      </c>
      <c r="G31" s="109">
        <f t="shared" si="3"/>
        <v>0</v>
      </c>
      <c r="H31" s="109">
        <f t="shared" si="3"/>
        <v>0</v>
      </c>
      <c r="I31" s="109">
        <f t="shared" si="3"/>
        <v>0</v>
      </c>
      <c r="J31" s="109">
        <f t="shared" si="3"/>
        <v>0</v>
      </c>
      <c r="K31" s="109">
        <f t="shared" si="10"/>
        <v>0</v>
      </c>
      <c r="L31" s="109">
        <f t="shared" si="11"/>
        <v>0</v>
      </c>
      <c r="M31" s="109">
        <f t="shared" si="4"/>
        <v>0</v>
      </c>
      <c r="N31" s="109">
        <f t="shared" si="4"/>
        <v>0</v>
      </c>
      <c r="O31" s="90">
        <f t="shared" si="4"/>
        <v>0</v>
      </c>
      <c r="P31" s="109">
        <f t="shared" si="4"/>
        <v>0</v>
      </c>
      <c r="Q31" s="109">
        <f t="shared" si="4"/>
        <v>0</v>
      </c>
      <c r="R31" s="109">
        <f t="shared" si="4"/>
        <v>0</v>
      </c>
      <c r="S31" s="109">
        <f t="shared" si="4"/>
        <v>0</v>
      </c>
      <c r="T31" s="109">
        <f t="shared" si="4"/>
        <v>0</v>
      </c>
      <c r="U31" s="109">
        <f t="shared" si="4"/>
        <v>0</v>
      </c>
      <c r="V31" s="109">
        <f t="shared" si="12"/>
        <v>0</v>
      </c>
      <c r="W31" s="109">
        <f t="shared" si="5"/>
        <v>0</v>
      </c>
      <c r="X31" s="109">
        <f t="shared" si="5"/>
        <v>0</v>
      </c>
      <c r="Y31" s="109">
        <f t="shared" si="5"/>
        <v>0</v>
      </c>
      <c r="Z31" s="109">
        <f t="shared" si="5"/>
        <v>0</v>
      </c>
      <c r="AA31" s="109">
        <f t="shared" si="5"/>
        <v>0</v>
      </c>
      <c r="AB31" s="109">
        <f t="shared" si="5"/>
        <v>0</v>
      </c>
      <c r="AC31" s="109">
        <f t="shared" si="5"/>
        <v>0</v>
      </c>
      <c r="AD31" s="109">
        <f t="shared" si="5"/>
        <v>0</v>
      </c>
      <c r="AE31" s="109">
        <f t="shared" si="5"/>
        <v>0</v>
      </c>
      <c r="AF31" s="126">
        <f t="shared" si="5"/>
        <v>0</v>
      </c>
      <c r="AG31" s="126">
        <f t="shared" si="5"/>
        <v>0</v>
      </c>
      <c r="AH31" s="126">
        <f t="shared" si="5"/>
        <v>0</v>
      </c>
      <c r="AI31" s="126">
        <f t="shared" si="5"/>
        <v>0</v>
      </c>
      <c r="AJ31" s="126">
        <f t="shared" si="5"/>
        <v>0</v>
      </c>
      <c r="AK31" s="126">
        <f t="shared" si="5"/>
        <v>0</v>
      </c>
      <c r="AL31" s="126">
        <f t="shared" si="5"/>
        <v>0</v>
      </c>
      <c r="AM31" s="126">
        <f t="shared" si="5"/>
        <v>0</v>
      </c>
      <c r="AN31" s="126">
        <f t="shared" si="5"/>
        <v>0</v>
      </c>
      <c r="AO31" s="126">
        <f t="shared" si="5"/>
        <v>0</v>
      </c>
      <c r="AP31" s="126">
        <f t="shared" si="5"/>
        <v>0</v>
      </c>
      <c r="AQ31" s="126">
        <f t="shared" si="5"/>
        <v>0</v>
      </c>
      <c r="AR31" s="126">
        <f t="shared" si="5"/>
        <v>0</v>
      </c>
      <c r="AS31" s="126">
        <f t="shared" si="5"/>
        <v>0</v>
      </c>
      <c r="AT31" s="220">
        <f t="shared" ref="AT31:AV31" si="30">AT12*$F31</f>
        <v>0</v>
      </c>
      <c r="AU31" s="220">
        <f t="shared" si="30"/>
        <v>0</v>
      </c>
      <c r="AV31" s="220">
        <f t="shared" si="30"/>
        <v>0</v>
      </c>
      <c r="AW31" s="220">
        <f t="shared" ref="AW31" si="31">AW12</f>
        <v>0</v>
      </c>
      <c r="AX31" s="220">
        <f t="shared" si="15"/>
        <v>0</v>
      </c>
      <c r="AY31" s="220">
        <f t="shared" si="15"/>
        <v>0</v>
      </c>
      <c r="AZ31" s="220">
        <f t="shared" si="15"/>
        <v>0</v>
      </c>
      <c r="BA31" s="220">
        <f t="shared" si="15"/>
        <v>0</v>
      </c>
      <c r="BB31" s="220">
        <f t="shared" ref="BB31:BC31" si="32">BB12</f>
        <v>0</v>
      </c>
      <c r="BC31" s="220">
        <f t="shared" si="32"/>
        <v>0</v>
      </c>
    </row>
    <row r="32" spans="1:55" x14ac:dyDescent="0.25">
      <c r="A32" s="124" t="str">
        <f t="shared" si="26"/>
        <v>x</v>
      </c>
      <c r="B32" s="90">
        <f t="shared" si="0"/>
        <v>0</v>
      </c>
      <c r="C32" s="127"/>
      <c r="D32" s="111" t="e">
        <f t="shared" si="1"/>
        <v>#DIV/0!</v>
      </c>
      <c r="E32" s="90">
        <f t="shared" si="2"/>
        <v>0</v>
      </c>
      <c r="F32" s="109">
        <f t="shared" si="3"/>
        <v>0</v>
      </c>
      <c r="G32" s="109">
        <f t="shared" si="3"/>
        <v>0</v>
      </c>
      <c r="H32" s="109">
        <f t="shared" si="3"/>
        <v>0</v>
      </c>
      <c r="I32" s="109">
        <f t="shared" si="3"/>
        <v>0</v>
      </c>
      <c r="J32" s="109">
        <f t="shared" si="3"/>
        <v>0</v>
      </c>
      <c r="K32" s="109">
        <f t="shared" si="10"/>
        <v>0</v>
      </c>
      <c r="L32" s="109">
        <f t="shared" si="11"/>
        <v>0</v>
      </c>
      <c r="M32" s="109">
        <f t="shared" si="4"/>
        <v>0</v>
      </c>
      <c r="N32" s="109">
        <f t="shared" si="4"/>
        <v>0</v>
      </c>
      <c r="O32" s="90">
        <f t="shared" si="4"/>
        <v>0</v>
      </c>
      <c r="P32" s="109">
        <f t="shared" si="4"/>
        <v>0</v>
      </c>
      <c r="Q32" s="109">
        <f t="shared" si="4"/>
        <v>0</v>
      </c>
      <c r="R32" s="109">
        <f t="shared" si="4"/>
        <v>0</v>
      </c>
      <c r="S32" s="109">
        <f t="shared" si="4"/>
        <v>0</v>
      </c>
      <c r="T32" s="109">
        <f t="shared" si="4"/>
        <v>0</v>
      </c>
      <c r="U32" s="109">
        <f t="shared" si="4"/>
        <v>0</v>
      </c>
      <c r="V32" s="109">
        <f t="shared" si="12"/>
        <v>0</v>
      </c>
      <c r="W32" s="109">
        <f t="shared" si="5"/>
        <v>0</v>
      </c>
      <c r="X32" s="109">
        <f t="shared" si="5"/>
        <v>0</v>
      </c>
      <c r="Y32" s="109">
        <f t="shared" si="5"/>
        <v>0</v>
      </c>
      <c r="Z32" s="109">
        <f t="shared" si="5"/>
        <v>0</v>
      </c>
      <c r="AA32" s="109">
        <f t="shared" si="5"/>
        <v>0</v>
      </c>
      <c r="AB32" s="109">
        <f t="shared" si="5"/>
        <v>0</v>
      </c>
      <c r="AC32" s="109">
        <f t="shared" si="5"/>
        <v>0</v>
      </c>
      <c r="AD32" s="109">
        <f t="shared" si="5"/>
        <v>0</v>
      </c>
      <c r="AE32" s="109">
        <f t="shared" si="5"/>
        <v>0</v>
      </c>
      <c r="AF32" s="126">
        <f t="shared" si="5"/>
        <v>0</v>
      </c>
      <c r="AG32" s="126">
        <f t="shared" si="5"/>
        <v>0</v>
      </c>
      <c r="AH32" s="126">
        <f t="shared" si="5"/>
        <v>0</v>
      </c>
      <c r="AI32" s="126">
        <f t="shared" si="5"/>
        <v>0</v>
      </c>
      <c r="AJ32" s="126">
        <f t="shared" si="5"/>
        <v>0</v>
      </c>
      <c r="AK32" s="126">
        <f t="shared" si="5"/>
        <v>0</v>
      </c>
      <c r="AL32" s="126">
        <f t="shared" si="5"/>
        <v>0</v>
      </c>
      <c r="AM32" s="128">
        <f t="shared" si="5"/>
        <v>0</v>
      </c>
      <c r="AN32" s="128">
        <f t="shared" si="5"/>
        <v>0</v>
      </c>
      <c r="AO32" s="128">
        <f t="shared" si="5"/>
        <v>0</v>
      </c>
      <c r="AP32" s="126">
        <f t="shared" si="5"/>
        <v>0</v>
      </c>
      <c r="AQ32" s="126">
        <f t="shared" si="5"/>
        <v>0</v>
      </c>
      <c r="AR32" s="126">
        <f t="shared" si="5"/>
        <v>0</v>
      </c>
      <c r="AS32" s="126">
        <f t="shared" si="5"/>
        <v>0</v>
      </c>
      <c r="AT32" s="220">
        <f t="shared" ref="AT32:AV32" si="33">AT13*$F32</f>
        <v>0</v>
      </c>
      <c r="AU32" s="220">
        <f t="shared" si="33"/>
        <v>0</v>
      </c>
      <c r="AV32" s="220">
        <f t="shared" si="33"/>
        <v>0</v>
      </c>
      <c r="AW32" s="220">
        <f t="shared" ref="AW32" si="34">AW13</f>
        <v>0</v>
      </c>
      <c r="AX32" s="220">
        <f t="shared" si="15"/>
        <v>0</v>
      </c>
      <c r="AY32" s="220">
        <f t="shared" si="15"/>
        <v>0</v>
      </c>
      <c r="AZ32" s="220">
        <f t="shared" si="15"/>
        <v>0</v>
      </c>
      <c r="BA32" s="220">
        <f t="shared" si="15"/>
        <v>0</v>
      </c>
      <c r="BB32" s="220">
        <f t="shared" ref="BB32:BC32" si="35">BB13</f>
        <v>0</v>
      </c>
      <c r="BC32" s="220">
        <f t="shared" si="35"/>
        <v>0</v>
      </c>
    </row>
    <row r="33" spans="1:55" x14ac:dyDescent="0.25">
      <c r="A33" s="124" t="str">
        <f t="shared" si="26"/>
        <v>x</v>
      </c>
      <c r="B33" s="90">
        <f t="shared" si="0"/>
        <v>0</v>
      </c>
      <c r="C33" s="127"/>
      <c r="D33" s="111" t="e">
        <f t="shared" si="1"/>
        <v>#DIV/0!</v>
      </c>
      <c r="E33" s="90">
        <f t="shared" si="2"/>
        <v>0</v>
      </c>
      <c r="F33" s="109">
        <f t="shared" si="3"/>
        <v>0</v>
      </c>
      <c r="G33" s="109">
        <f t="shared" si="3"/>
        <v>0</v>
      </c>
      <c r="H33" s="109">
        <f t="shared" si="3"/>
        <v>0</v>
      </c>
      <c r="I33" s="109">
        <f t="shared" si="3"/>
        <v>0</v>
      </c>
      <c r="J33" s="109">
        <f t="shared" si="3"/>
        <v>0</v>
      </c>
      <c r="K33" s="109">
        <f t="shared" si="10"/>
        <v>0</v>
      </c>
      <c r="L33" s="109">
        <f t="shared" si="11"/>
        <v>0</v>
      </c>
      <c r="M33" s="109">
        <f t="shared" si="3"/>
        <v>0</v>
      </c>
      <c r="N33" s="109">
        <f t="shared" si="3"/>
        <v>0</v>
      </c>
      <c r="O33" s="90">
        <f t="shared" si="3"/>
        <v>0</v>
      </c>
      <c r="P33" s="109">
        <f t="shared" si="3"/>
        <v>0</v>
      </c>
      <c r="Q33" s="109">
        <f t="shared" si="3"/>
        <v>0</v>
      </c>
      <c r="R33" s="109">
        <f t="shared" si="4"/>
        <v>0</v>
      </c>
      <c r="S33" s="109">
        <f t="shared" si="4"/>
        <v>0</v>
      </c>
      <c r="T33" s="109">
        <f t="shared" si="4"/>
        <v>0</v>
      </c>
      <c r="U33" s="109">
        <f t="shared" si="4"/>
        <v>0</v>
      </c>
      <c r="V33" s="109">
        <f t="shared" si="12"/>
        <v>0</v>
      </c>
      <c r="W33" s="109">
        <f t="shared" si="5"/>
        <v>0</v>
      </c>
      <c r="X33" s="109">
        <f t="shared" si="5"/>
        <v>0</v>
      </c>
      <c r="Y33" s="109">
        <f t="shared" si="5"/>
        <v>0</v>
      </c>
      <c r="Z33" s="109">
        <f t="shared" si="5"/>
        <v>0</v>
      </c>
      <c r="AA33" s="109">
        <f t="shared" si="5"/>
        <v>0</v>
      </c>
      <c r="AB33" s="109">
        <f t="shared" si="5"/>
        <v>0</v>
      </c>
      <c r="AC33" s="109">
        <f t="shared" si="5"/>
        <v>0</v>
      </c>
      <c r="AD33" s="109">
        <f t="shared" si="5"/>
        <v>0</v>
      </c>
      <c r="AE33" s="109">
        <f t="shared" si="5"/>
        <v>0</v>
      </c>
      <c r="AF33" s="126">
        <f t="shared" si="5"/>
        <v>0</v>
      </c>
      <c r="AG33" s="126">
        <f t="shared" si="5"/>
        <v>0</v>
      </c>
      <c r="AH33" s="126">
        <f t="shared" si="5"/>
        <v>0</v>
      </c>
      <c r="AI33" s="126">
        <f t="shared" si="5"/>
        <v>0</v>
      </c>
      <c r="AJ33" s="126">
        <f t="shared" si="5"/>
        <v>0</v>
      </c>
      <c r="AK33" s="126">
        <f t="shared" si="5"/>
        <v>0</v>
      </c>
      <c r="AL33" s="126">
        <f t="shared" si="5"/>
        <v>0</v>
      </c>
      <c r="AM33" s="126">
        <f t="shared" si="5"/>
        <v>0</v>
      </c>
      <c r="AN33" s="126">
        <f t="shared" si="5"/>
        <v>0</v>
      </c>
      <c r="AO33" s="126">
        <f t="shared" si="5"/>
        <v>0</v>
      </c>
      <c r="AP33" s="126">
        <f t="shared" si="5"/>
        <v>0</v>
      </c>
      <c r="AQ33" s="126">
        <f t="shared" si="5"/>
        <v>0</v>
      </c>
      <c r="AR33" s="126">
        <f t="shared" si="5"/>
        <v>0</v>
      </c>
      <c r="AS33" s="126">
        <f t="shared" si="5"/>
        <v>0</v>
      </c>
      <c r="AT33" s="220">
        <f t="shared" ref="AT33:AV33" si="36">AT14*$F33</f>
        <v>0</v>
      </c>
      <c r="AU33" s="220">
        <f t="shared" si="36"/>
        <v>0</v>
      </c>
      <c r="AV33" s="220">
        <f t="shared" si="36"/>
        <v>0</v>
      </c>
      <c r="AW33" s="220">
        <f t="shared" ref="AW33" si="37">AW14</f>
        <v>0</v>
      </c>
      <c r="AX33" s="220">
        <f t="shared" si="15"/>
        <v>0</v>
      </c>
      <c r="AY33" s="220">
        <f t="shared" si="15"/>
        <v>0</v>
      </c>
      <c r="AZ33" s="220">
        <f t="shared" si="15"/>
        <v>0</v>
      </c>
      <c r="BA33" s="220">
        <f t="shared" si="15"/>
        <v>0</v>
      </c>
      <c r="BB33" s="220">
        <f t="shared" ref="BB33:BC33" si="38">BB14</f>
        <v>0</v>
      </c>
      <c r="BC33" s="220">
        <f t="shared" si="38"/>
        <v>0</v>
      </c>
    </row>
    <row r="34" spans="1:55" x14ac:dyDescent="0.25">
      <c r="A34" s="124" t="str">
        <f t="shared" si="26"/>
        <v>x</v>
      </c>
      <c r="B34" s="90">
        <f t="shared" si="0"/>
        <v>0</v>
      </c>
      <c r="C34" s="127"/>
      <c r="D34" s="111" t="e">
        <f t="shared" si="1"/>
        <v>#DIV/0!</v>
      </c>
      <c r="E34" s="90">
        <f t="shared" si="2"/>
        <v>0</v>
      </c>
      <c r="F34" s="109">
        <f t="shared" si="3"/>
        <v>0</v>
      </c>
      <c r="G34" s="109">
        <f t="shared" si="3"/>
        <v>0</v>
      </c>
      <c r="H34" s="109">
        <f t="shared" si="3"/>
        <v>0</v>
      </c>
      <c r="I34" s="109">
        <f t="shared" si="3"/>
        <v>0</v>
      </c>
      <c r="J34" s="109">
        <f t="shared" si="3"/>
        <v>0</v>
      </c>
      <c r="K34" s="109">
        <f t="shared" si="10"/>
        <v>0</v>
      </c>
      <c r="L34" s="109">
        <f t="shared" si="11"/>
        <v>0</v>
      </c>
      <c r="M34" s="109">
        <f t="shared" si="3"/>
        <v>0</v>
      </c>
      <c r="N34" s="109">
        <f t="shared" si="3"/>
        <v>0</v>
      </c>
      <c r="O34" s="90">
        <f t="shared" si="3"/>
        <v>0</v>
      </c>
      <c r="P34" s="109">
        <f t="shared" si="3"/>
        <v>0</v>
      </c>
      <c r="Q34" s="109">
        <f t="shared" si="3"/>
        <v>0</v>
      </c>
      <c r="R34" s="109">
        <f t="shared" si="4"/>
        <v>0</v>
      </c>
      <c r="S34" s="109">
        <f t="shared" si="4"/>
        <v>0</v>
      </c>
      <c r="T34" s="109">
        <f t="shared" si="4"/>
        <v>0</v>
      </c>
      <c r="U34" s="109">
        <f t="shared" si="4"/>
        <v>0</v>
      </c>
      <c r="V34" s="109">
        <f t="shared" si="12"/>
        <v>0</v>
      </c>
      <c r="W34" s="109">
        <f t="shared" si="5"/>
        <v>0</v>
      </c>
      <c r="X34" s="109">
        <f t="shared" si="5"/>
        <v>0</v>
      </c>
      <c r="Y34" s="109">
        <f t="shared" si="5"/>
        <v>0</v>
      </c>
      <c r="Z34" s="109">
        <f t="shared" si="5"/>
        <v>0</v>
      </c>
      <c r="AA34" s="109">
        <f t="shared" si="5"/>
        <v>0</v>
      </c>
      <c r="AB34" s="109">
        <f t="shared" si="5"/>
        <v>0</v>
      </c>
      <c r="AC34" s="109">
        <f t="shared" si="5"/>
        <v>0</v>
      </c>
      <c r="AD34" s="109">
        <f t="shared" si="5"/>
        <v>0</v>
      </c>
      <c r="AE34" s="109">
        <f t="shared" si="5"/>
        <v>0</v>
      </c>
      <c r="AF34" s="126">
        <f t="shared" si="5"/>
        <v>0</v>
      </c>
      <c r="AG34" s="126">
        <f t="shared" si="5"/>
        <v>0</v>
      </c>
      <c r="AH34" s="126">
        <f t="shared" si="5"/>
        <v>0</v>
      </c>
      <c r="AI34" s="126">
        <f t="shared" si="5"/>
        <v>0</v>
      </c>
      <c r="AJ34" s="126">
        <f t="shared" si="5"/>
        <v>0</v>
      </c>
      <c r="AK34" s="126">
        <f t="shared" si="5"/>
        <v>0</v>
      </c>
      <c r="AL34" s="126">
        <f t="shared" si="5"/>
        <v>0</v>
      </c>
      <c r="AM34" s="126">
        <f t="shared" si="5"/>
        <v>0</v>
      </c>
      <c r="AN34" s="126">
        <f t="shared" si="5"/>
        <v>0</v>
      </c>
      <c r="AO34" s="126">
        <f t="shared" si="5"/>
        <v>0</v>
      </c>
      <c r="AP34" s="126">
        <f t="shared" si="5"/>
        <v>0</v>
      </c>
      <c r="AQ34" s="126">
        <f t="shared" si="5"/>
        <v>0</v>
      </c>
      <c r="AR34" s="126">
        <f t="shared" si="5"/>
        <v>0</v>
      </c>
      <c r="AS34" s="126">
        <f t="shared" si="5"/>
        <v>0</v>
      </c>
      <c r="AT34" s="220">
        <f t="shared" ref="AT34:AV34" si="39">AT15*$F34</f>
        <v>0</v>
      </c>
      <c r="AU34" s="220">
        <f t="shared" si="39"/>
        <v>0</v>
      </c>
      <c r="AV34" s="220">
        <f t="shared" si="39"/>
        <v>0</v>
      </c>
      <c r="AW34" s="220">
        <f t="shared" ref="AW34" si="40">AW15</f>
        <v>0</v>
      </c>
      <c r="AX34" s="220">
        <f t="shared" si="15"/>
        <v>0</v>
      </c>
      <c r="AY34" s="220">
        <f t="shared" si="15"/>
        <v>0</v>
      </c>
      <c r="AZ34" s="220">
        <f t="shared" si="15"/>
        <v>0</v>
      </c>
      <c r="BA34" s="220">
        <f t="shared" si="15"/>
        <v>0</v>
      </c>
      <c r="BB34" s="220">
        <f t="shared" ref="BB34:BC34" si="41">BB15</f>
        <v>0</v>
      </c>
      <c r="BC34" s="220">
        <f t="shared" si="41"/>
        <v>0</v>
      </c>
    </row>
    <row r="35" spans="1:55" x14ac:dyDescent="0.25">
      <c r="A35" s="124" t="str">
        <f t="shared" si="26"/>
        <v>x</v>
      </c>
      <c r="B35" s="90">
        <f t="shared" si="0"/>
        <v>0</v>
      </c>
      <c r="C35" s="127"/>
      <c r="D35" s="111" t="e">
        <f t="shared" si="1"/>
        <v>#DIV/0!</v>
      </c>
      <c r="E35" s="90">
        <f t="shared" si="2"/>
        <v>0</v>
      </c>
      <c r="F35" s="109">
        <f t="shared" si="3"/>
        <v>0</v>
      </c>
      <c r="G35" s="109">
        <f t="shared" si="3"/>
        <v>0</v>
      </c>
      <c r="H35" s="109">
        <f t="shared" si="3"/>
        <v>0</v>
      </c>
      <c r="I35" s="109">
        <f t="shared" si="3"/>
        <v>0</v>
      </c>
      <c r="J35" s="109">
        <f t="shared" si="3"/>
        <v>0</v>
      </c>
      <c r="K35" s="109">
        <f t="shared" si="10"/>
        <v>0</v>
      </c>
      <c r="L35" s="109">
        <f t="shared" si="11"/>
        <v>0</v>
      </c>
      <c r="M35" s="109">
        <f t="shared" si="3"/>
        <v>0</v>
      </c>
      <c r="N35" s="109">
        <f t="shared" si="3"/>
        <v>0</v>
      </c>
      <c r="O35" s="90">
        <f t="shared" si="3"/>
        <v>0</v>
      </c>
      <c r="P35" s="109">
        <f t="shared" si="3"/>
        <v>0</v>
      </c>
      <c r="Q35" s="109">
        <f t="shared" si="3"/>
        <v>0</v>
      </c>
      <c r="R35" s="109">
        <f t="shared" si="4"/>
        <v>0</v>
      </c>
      <c r="S35" s="109">
        <f t="shared" si="4"/>
        <v>0</v>
      </c>
      <c r="T35" s="109">
        <f t="shared" si="4"/>
        <v>0</v>
      </c>
      <c r="U35" s="109">
        <f t="shared" si="4"/>
        <v>0</v>
      </c>
      <c r="V35" s="109">
        <f t="shared" si="12"/>
        <v>0</v>
      </c>
      <c r="W35" s="109">
        <f t="shared" si="5"/>
        <v>0</v>
      </c>
      <c r="X35" s="109">
        <f t="shared" si="5"/>
        <v>0</v>
      </c>
      <c r="Y35" s="109">
        <f t="shared" si="5"/>
        <v>0</v>
      </c>
      <c r="Z35" s="109">
        <f t="shared" si="5"/>
        <v>0</v>
      </c>
      <c r="AA35" s="109">
        <f t="shared" si="5"/>
        <v>0</v>
      </c>
      <c r="AB35" s="109">
        <f t="shared" si="5"/>
        <v>0</v>
      </c>
      <c r="AC35" s="109">
        <f t="shared" si="5"/>
        <v>0</v>
      </c>
      <c r="AD35" s="109">
        <f t="shared" si="5"/>
        <v>0</v>
      </c>
      <c r="AE35" s="109">
        <f t="shared" si="5"/>
        <v>0</v>
      </c>
      <c r="AF35" s="126">
        <f t="shared" si="5"/>
        <v>0</v>
      </c>
      <c r="AG35" s="126">
        <f t="shared" si="5"/>
        <v>0</v>
      </c>
      <c r="AH35" s="126">
        <f t="shared" si="5"/>
        <v>0</v>
      </c>
      <c r="AI35" s="126">
        <f t="shared" si="5"/>
        <v>0</v>
      </c>
      <c r="AJ35" s="126">
        <f t="shared" si="5"/>
        <v>0</v>
      </c>
      <c r="AK35" s="126">
        <f t="shared" si="5"/>
        <v>0</v>
      </c>
      <c r="AL35" s="126">
        <f t="shared" si="5"/>
        <v>0</v>
      </c>
      <c r="AM35" s="126">
        <f t="shared" si="5"/>
        <v>0</v>
      </c>
      <c r="AN35" s="126">
        <f t="shared" si="5"/>
        <v>0</v>
      </c>
      <c r="AO35" s="126">
        <f t="shared" si="5"/>
        <v>0</v>
      </c>
      <c r="AP35" s="126">
        <f t="shared" si="5"/>
        <v>0</v>
      </c>
      <c r="AQ35" s="126">
        <f t="shared" si="5"/>
        <v>0</v>
      </c>
      <c r="AR35" s="126">
        <f t="shared" si="5"/>
        <v>0</v>
      </c>
      <c r="AS35" s="126">
        <f t="shared" si="5"/>
        <v>0</v>
      </c>
      <c r="AT35" s="220">
        <f t="shared" ref="AT35:AV35" si="42">AT16*$F35</f>
        <v>0</v>
      </c>
      <c r="AU35" s="220">
        <f t="shared" si="42"/>
        <v>0</v>
      </c>
      <c r="AV35" s="220">
        <f t="shared" si="42"/>
        <v>0</v>
      </c>
      <c r="AW35" s="220">
        <f t="shared" ref="AW35" si="43">AW16</f>
        <v>0</v>
      </c>
      <c r="AX35" s="220">
        <f t="shared" si="15"/>
        <v>0</v>
      </c>
      <c r="AY35" s="220">
        <f t="shared" si="15"/>
        <v>0</v>
      </c>
      <c r="AZ35" s="220">
        <f t="shared" si="15"/>
        <v>0</v>
      </c>
      <c r="BA35" s="220">
        <f t="shared" si="15"/>
        <v>0</v>
      </c>
      <c r="BB35" s="220">
        <f t="shared" ref="BB35:BC35" si="44">BB16</f>
        <v>0</v>
      </c>
      <c r="BC35" s="220">
        <f t="shared" si="44"/>
        <v>0</v>
      </c>
    </row>
    <row r="36" spans="1:55" x14ac:dyDescent="0.25">
      <c r="A36" s="124" t="str">
        <f>A17</f>
        <v>x</v>
      </c>
      <c r="B36" s="90">
        <f t="shared" si="0"/>
        <v>0</v>
      </c>
      <c r="C36" s="127"/>
      <c r="D36" s="111" t="e">
        <f t="shared" si="1"/>
        <v>#DIV/0!</v>
      </c>
      <c r="E36" s="90">
        <f t="shared" si="2"/>
        <v>0</v>
      </c>
      <c r="F36" s="109">
        <f t="shared" si="3"/>
        <v>0</v>
      </c>
      <c r="G36" s="109">
        <f t="shared" si="3"/>
        <v>0</v>
      </c>
      <c r="H36" s="109">
        <f t="shared" si="3"/>
        <v>0</v>
      </c>
      <c r="I36" s="109">
        <f t="shared" si="3"/>
        <v>0</v>
      </c>
      <c r="J36" s="109">
        <f t="shared" si="3"/>
        <v>0</v>
      </c>
      <c r="K36" s="109">
        <f t="shared" si="10"/>
        <v>0</v>
      </c>
      <c r="L36" s="109">
        <f t="shared" si="11"/>
        <v>0</v>
      </c>
      <c r="M36" s="109">
        <f t="shared" si="3"/>
        <v>0</v>
      </c>
      <c r="N36" s="109">
        <f t="shared" si="3"/>
        <v>0</v>
      </c>
      <c r="O36" s="90">
        <f t="shared" si="3"/>
        <v>0</v>
      </c>
      <c r="P36" s="109">
        <f t="shared" si="3"/>
        <v>0</v>
      </c>
      <c r="Q36" s="109">
        <f t="shared" si="3"/>
        <v>0</v>
      </c>
      <c r="R36" s="109">
        <f t="shared" si="4"/>
        <v>0</v>
      </c>
      <c r="S36" s="109">
        <f t="shared" si="4"/>
        <v>0</v>
      </c>
      <c r="T36" s="109">
        <f t="shared" si="4"/>
        <v>0</v>
      </c>
      <c r="U36" s="109">
        <f t="shared" si="4"/>
        <v>0</v>
      </c>
      <c r="V36" s="109">
        <f t="shared" si="12"/>
        <v>0</v>
      </c>
      <c r="W36" s="109">
        <f t="shared" si="5"/>
        <v>0</v>
      </c>
      <c r="X36" s="109">
        <f t="shared" si="5"/>
        <v>0</v>
      </c>
      <c r="Y36" s="109">
        <f t="shared" ref="Y36:AS36" si="45">$E36*Y17</f>
        <v>0</v>
      </c>
      <c r="Z36" s="109">
        <f t="shared" si="45"/>
        <v>0</v>
      </c>
      <c r="AA36" s="109">
        <f t="shared" si="45"/>
        <v>0</v>
      </c>
      <c r="AB36" s="109">
        <f t="shared" si="45"/>
        <v>0</v>
      </c>
      <c r="AC36" s="109">
        <f t="shared" si="45"/>
        <v>0</v>
      </c>
      <c r="AD36" s="109">
        <f t="shared" si="45"/>
        <v>0</v>
      </c>
      <c r="AE36" s="109">
        <f t="shared" si="45"/>
        <v>0</v>
      </c>
      <c r="AF36" s="126">
        <f t="shared" si="45"/>
        <v>0</v>
      </c>
      <c r="AG36" s="126">
        <f t="shared" si="45"/>
        <v>0</v>
      </c>
      <c r="AH36" s="126">
        <f t="shared" si="45"/>
        <v>0</v>
      </c>
      <c r="AI36" s="126">
        <f t="shared" si="45"/>
        <v>0</v>
      </c>
      <c r="AJ36" s="126">
        <f t="shared" si="45"/>
        <v>0</v>
      </c>
      <c r="AK36" s="126">
        <f t="shared" si="45"/>
        <v>0</v>
      </c>
      <c r="AL36" s="126">
        <f t="shared" si="45"/>
        <v>0</v>
      </c>
      <c r="AM36" s="126">
        <f t="shared" si="45"/>
        <v>0</v>
      </c>
      <c r="AN36" s="126">
        <f t="shared" si="45"/>
        <v>0</v>
      </c>
      <c r="AO36" s="126">
        <f t="shared" si="45"/>
        <v>0</v>
      </c>
      <c r="AP36" s="126">
        <f t="shared" si="45"/>
        <v>0</v>
      </c>
      <c r="AQ36" s="126">
        <f t="shared" si="45"/>
        <v>0</v>
      </c>
      <c r="AR36" s="126">
        <f t="shared" si="45"/>
        <v>0</v>
      </c>
      <c r="AS36" s="126">
        <f t="shared" si="45"/>
        <v>0</v>
      </c>
      <c r="AT36" s="220">
        <f t="shared" ref="AT36:AV36" si="46">AT17*$F36</f>
        <v>0</v>
      </c>
      <c r="AU36" s="220">
        <f t="shared" si="46"/>
        <v>0</v>
      </c>
      <c r="AV36" s="220">
        <f t="shared" si="46"/>
        <v>0</v>
      </c>
      <c r="AW36" s="220">
        <f t="shared" ref="AW36" si="47">AW17</f>
        <v>0</v>
      </c>
      <c r="AX36" s="220">
        <f t="shared" si="15"/>
        <v>0</v>
      </c>
      <c r="AY36" s="220">
        <f t="shared" si="15"/>
        <v>0</v>
      </c>
      <c r="AZ36" s="220">
        <f t="shared" si="15"/>
        <v>0</v>
      </c>
      <c r="BA36" s="220">
        <f t="shared" si="15"/>
        <v>0</v>
      </c>
      <c r="BB36" s="220">
        <f t="shared" ref="BB36:BC36" si="48">BB17</f>
        <v>0</v>
      </c>
      <c r="BC36" s="220">
        <f t="shared" si="48"/>
        <v>0</v>
      </c>
    </row>
    <row r="37" spans="1:55" x14ac:dyDescent="0.25">
      <c r="A37" s="124" t="str">
        <f t="shared" si="26"/>
        <v>x</v>
      </c>
      <c r="B37" s="90">
        <f t="shared" si="0"/>
        <v>0</v>
      </c>
      <c r="C37" s="127"/>
      <c r="D37" s="111" t="e">
        <f t="shared" si="1"/>
        <v>#DIV/0!</v>
      </c>
      <c r="E37" s="90">
        <f t="shared" si="2"/>
        <v>0</v>
      </c>
      <c r="F37" s="109">
        <f t="shared" si="3"/>
        <v>0</v>
      </c>
      <c r="G37" s="109">
        <f t="shared" si="3"/>
        <v>0</v>
      </c>
      <c r="H37" s="109">
        <f t="shared" si="3"/>
        <v>0</v>
      </c>
      <c r="I37" s="109">
        <f t="shared" si="3"/>
        <v>0</v>
      </c>
      <c r="J37" s="109">
        <f t="shared" si="3"/>
        <v>0</v>
      </c>
      <c r="K37" s="109">
        <f t="shared" si="10"/>
        <v>0</v>
      </c>
      <c r="L37" s="109">
        <f t="shared" si="11"/>
        <v>0</v>
      </c>
      <c r="M37" s="109">
        <f t="shared" si="3"/>
        <v>0</v>
      </c>
      <c r="N37" s="109">
        <f t="shared" si="3"/>
        <v>0</v>
      </c>
      <c r="O37" s="90">
        <f t="shared" si="3"/>
        <v>0</v>
      </c>
      <c r="P37" s="109">
        <f t="shared" si="3"/>
        <v>0</v>
      </c>
      <c r="Q37" s="109">
        <f t="shared" si="3"/>
        <v>0</v>
      </c>
      <c r="R37" s="109">
        <f t="shared" si="4"/>
        <v>0</v>
      </c>
      <c r="S37" s="109">
        <f t="shared" si="4"/>
        <v>0</v>
      </c>
      <c r="T37" s="109">
        <f t="shared" si="4"/>
        <v>0</v>
      </c>
      <c r="U37" s="109">
        <f t="shared" si="4"/>
        <v>0</v>
      </c>
      <c r="V37" s="109">
        <f t="shared" si="12"/>
        <v>0</v>
      </c>
      <c r="W37" s="109">
        <f t="shared" ref="W37:AS40" si="49">$E37*W18</f>
        <v>0</v>
      </c>
      <c r="X37" s="109">
        <f t="shared" si="49"/>
        <v>0</v>
      </c>
      <c r="Y37" s="109">
        <f t="shared" si="49"/>
        <v>0</v>
      </c>
      <c r="Z37" s="109">
        <f t="shared" si="49"/>
        <v>0</v>
      </c>
      <c r="AA37" s="109">
        <f t="shared" si="49"/>
        <v>0</v>
      </c>
      <c r="AB37" s="109">
        <f t="shared" si="49"/>
        <v>0</v>
      </c>
      <c r="AC37" s="109">
        <f t="shared" si="49"/>
        <v>0</v>
      </c>
      <c r="AD37" s="109">
        <f t="shared" si="49"/>
        <v>0</v>
      </c>
      <c r="AE37" s="109">
        <f t="shared" si="49"/>
        <v>0</v>
      </c>
      <c r="AF37" s="126">
        <f t="shared" si="49"/>
        <v>0</v>
      </c>
      <c r="AG37" s="126">
        <f t="shared" si="49"/>
        <v>0</v>
      </c>
      <c r="AH37" s="126">
        <f t="shared" si="49"/>
        <v>0</v>
      </c>
      <c r="AI37" s="126">
        <f t="shared" si="49"/>
        <v>0</v>
      </c>
      <c r="AJ37" s="126">
        <f t="shared" si="49"/>
        <v>0</v>
      </c>
      <c r="AK37" s="126">
        <f t="shared" si="49"/>
        <v>0</v>
      </c>
      <c r="AL37" s="126">
        <f t="shared" si="49"/>
        <v>0</v>
      </c>
      <c r="AM37" s="126">
        <f t="shared" si="49"/>
        <v>0</v>
      </c>
      <c r="AN37" s="126">
        <f t="shared" si="49"/>
        <v>0</v>
      </c>
      <c r="AO37" s="126">
        <f t="shared" si="49"/>
        <v>0</v>
      </c>
      <c r="AP37" s="126">
        <f t="shared" si="49"/>
        <v>0</v>
      </c>
      <c r="AQ37" s="126">
        <f t="shared" si="49"/>
        <v>0</v>
      </c>
      <c r="AR37" s="126">
        <f t="shared" si="49"/>
        <v>0</v>
      </c>
      <c r="AS37" s="126">
        <f t="shared" si="49"/>
        <v>0</v>
      </c>
      <c r="AT37" s="220">
        <f t="shared" ref="AT37:AV37" si="50">AT18*$F37</f>
        <v>0</v>
      </c>
      <c r="AU37" s="220">
        <f t="shared" si="50"/>
        <v>0</v>
      </c>
      <c r="AV37" s="220">
        <f t="shared" si="50"/>
        <v>0</v>
      </c>
      <c r="AW37" s="220">
        <f t="shared" ref="AW37" si="51">AW18</f>
        <v>0</v>
      </c>
      <c r="AX37" s="220">
        <f t="shared" si="15"/>
        <v>0</v>
      </c>
      <c r="AY37" s="220">
        <f t="shared" si="15"/>
        <v>0</v>
      </c>
      <c r="AZ37" s="220">
        <f t="shared" si="15"/>
        <v>0</v>
      </c>
      <c r="BA37" s="220">
        <f t="shared" si="15"/>
        <v>0</v>
      </c>
      <c r="BB37" s="220">
        <f t="shared" ref="BB37:BC37" si="52">BB18</f>
        <v>0</v>
      </c>
      <c r="BC37" s="220">
        <f t="shared" si="52"/>
        <v>0</v>
      </c>
    </row>
    <row r="38" spans="1:55" x14ac:dyDescent="0.25">
      <c r="A38" s="124" t="str">
        <f t="shared" si="26"/>
        <v>x</v>
      </c>
      <c r="B38" s="90">
        <f t="shared" si="0"/>
        <v>0</v>
      </c>
      <c r="C38" s="127"/>
      <c r="D38" s="111" t="e">
        <f t="shared" si="1"/>
        <v>#DIV/0!</v>
      </c>
      <c r="E38" s="90">
        <f t="shared" si="2"/>
        <v>0</v>
      </c>
      <c r="F38" s="109">
        <f t="shared" si="3"/>
        <v>0</v>
      </c>
      <c r="G38" s="109">
        <f t="shared" si="3"/>
        <v>0</v>
      </c>
      <c r="H38" s="109">
        <f t="shared" si="3"/>
        <v>0</v>
      </c>
      <c r="I38" s="109">
        <f t="shared" si="3"/>
        <v>0</v>
      </c>
      <c r="J38" s="109">
        <f t="shared" si="3"/>
        <v>0</v>
      </c>
      <c r="K38" s="109">
        <f t="shared" si="10"/>
        <v>0</v>
      </c>
      <c r="L38" s="109">
        <f t="shared" si="11"/>
        <v>0</v>
      </c>
      <c r="M38" s="109">
        <f t="shared" si="3"/>
        <v>0</v>
      </c>
      <c r="N38" s="109">
        <f t="shared" si="3"/>
        <v>0</v>
      </c>
      <c r="O38" s="90">
        <f t="shared" si="3"/>
        <v>0</v>
      </c>
      <c r="P38" s="109">
        <f t="shared" si="3"/>
        <v>0</v>
      </c>
      <c r="Q38" s="109">
        <f t="shared" si="3"/>
        <v>0</v>
      </c>
      <c r="R38" s="109">
        <f t="shared" si="4"/>
        <v>0</v>
      </c>
      <c r="S38" s="109">
        <f t="shared" si="4"/>
        <v>0</v>
      </c>
      <c r="T38" s="109">
        <f t="shared" si="4"/>
        <v>0</v>
      </c>
      <c r="U38" s="109">
        <f t="shared" si="4"/>
        <v>0</v>
      </c>
      <c r="V38" s="109">
        <f t="shared" si="12"/>
        <v>0</v>
      </c>
      <c r="W38" s="109">
        <f t="shared" si="49"/>
        <v>0</v>
      </c>
      <c r="X38" s="109">
        <f t="shared" si="49"/>
        <v>0</v>
      </c>
      <c r="Y38" s="109">
        <f t="shared" si="49"/>
        <v>0</v>
      </c>
      <c r="Z38" s="109">
        <f t="shared" si="49"/>
        <v>0</v>
      </c>
      <c r="AA38" s="109">
        <f t="shared" si="49"/>
        <v>0</v>
      </c>
      <c r="AB38" s="109">
        <f t="shared" si="49"/>
        <v>0</v>
      </c>
      <c r="AC38" s="109">
        <f t="shared" si="49"/>
        <v>0</v>
      </c>
      <c r="AD38" s="109">
        <f t="shared" si="49"/>
        <v>0</v>
      </c>
      <c r="AE38" s="109">
        <f t="shared" si="49"/>
        <v>0</v>
      </c>
      <c r="AF38" s="126">
        <f t="shared" si="49"/>
        <v>0</v>
      </c>
      <c r="AG38" s="126">
        <f t="shared" si="49"/>
        <v>0</v>
      </c>
      <c r="AH38" s="126">
        <f t="shared" si="49"/>
        <v>0</v>
      </c>
      <c r="AI38" s="126">
        <f t="shared" si="49"/>
        <v>0</v>
      </c>
      <c r="AJ38" s="126">
        <f t="shared" si="49"/>
        <v>0</v>
      </c>
      <c r="AK38" s="126">
        <f t="shared" si="49"/>
        <v>0</v>
      </c>
      <c r="AL38" s="126">
        <f t="shared" si="49"/>
        <v>0</v>
      </c>
      <c r="AM38" s="126">
        <f t="shared" si="49"/>
        <v>0</v>
      </c>
      <c r="AN38" s="126">
        <f t="shared" si="49"/>
        <v>0</v>
      </c>
      <c r="AO38" s="126">
        <f t="shared" si="49"/>
        <v>0</v>
      </c>
      <c r="AP38" s="126">
        <f t="shared" si="49"/>
        <v>0</v>
      </c>
      <c r="AQ38" s="126">
        <f t="shared" si="49"/>
        <v>0</v>
      </c>
      <c r="AR38" s="126">
        <f t="shared" si="49"/>
        <v>0</v>
      </c>
      <c r="AS38" s="126">
        <f t="shared" si="49"/>
        <v>0</v>
      </c>
      <c r="AT38" s="126">
        <f t="shared" ref="AT38:AV38" si="53">AT19*$F38</f>
        <v>0</v>
      </c>
      <c r="AU38" s="126">
        <f t="shared" si="53"/>
        <v>0</v>
      </c>
      <c r="AV38" s="126">
        <f t="shared" si="53"/>
        <v>0</v>
      </c>
      <c r="AW38" s="220">
        <f t="shared" ref="AW38" si="54">AW19</f>
        <v>0</v>
      </c>
      <c r="AX38" s="220">
        <f t="shared" si="15"/>
        <v>0</v>
      </c>
      <c r="AY38" s="220">
        <f t="shared" si="15"/>
        <v>0</v>
      </c>
      <c r="AZ38" s="220">
        <f t="shared" si="15"/>
        <v>0</v>
      </c>
      <c r="BA38" s="220">
        <f t="shared" si="15"/>
        <v>0</v>
      </c>
      <c r="BB38" s="220">
        <f t="shared" ref="BB38:BC38" si="55">BB19</f>
        <v>0</v>
      </c>
      <c r="BC38" s="220">
        <f t="shared" si="55"/>
        <v>0</v>
      </c>
    </row>
    <row r="39" spans="1:55" x14ac:dyDescent="0.25">
      <c r="A39" s="124" t="str">
        <f t="shared" si="26"/>
        <v>x</v>
      </c>
      <c r="B39" s="90">
        <f t="shared" si="0"/>
        <v>0</v>
      </c>
      <c r="C39" s="127"/>
      <c r="D39" s="111" t="e">
        <f t="shared" si="1"/>
        <v>#DIV/0!</v>
      </c>
      <c r="E39" s="90">
        <f t="shared" si="2"/>
        <v>0</v>
      </c>
      <c r="F39" s="109">
        <f t="shared" si="3"/>
        <v>0</v>
      </c>
      <c r="G39" s="109">
        <f t="shared" si="3"/>
        <v>0</v>
      </c>
      <c r="H39" s="109">
        <f t="shared" si="3"/>
        <v>0</v>
      </c>
      <c r="I39" s="109">
        <f t="shared" si="3"/>
        <v>0</v>
      </c>
      <c r="J39" s="109">
        <f t="shared" si="3"/>
        <v>0</v>
      </c>
      <c r="K39" s="109">
        <f t="shared" si="10"/>
        <v>0</v>
      </c>
      <c r="L39" s="109">
        <f t="shared" si="11"/>
        <v>0</v>
      </c>
      <c r="M39" s="109">
        <f t="shared" si="3"/>
        <v>0</v>
      </c>
      <c r="N39" s="109">
        <f t="shared" si="3"/>
        <v>0</v>
      </c>
      <c r="O39" s="90">
        <f t="shared" si="3"/>
        <v>0</v>
      </c>
      <c r="P39" s="109">
        <f t="shared" si="3"/>
        <v>0</v>
      </c>
      <c r="Q39" s="109">
        <f t="shared" si="3"/>
        <v>0</v>
      </c>
      <c r="R39" s="109">
        <f t="shared" si="4"/>
        <v>0</v>
      </c>
      <c r="S39" s="109">
        <f t="shared" si="4"/>
        <v>0</v>
      </c>
      <c r="T39" s="109">
        <f t="shared" si="4"/>
        <v>0</v>
      </c>
      <c r="U39" s="109">
        <f t="shared" si="4"/>
        <v>0</v>
      </c>
      <c r="V39" s="109">
        <f t="shared" si="12"/>
        <v>0</v>
      </c>
      <c r="W39" s="109">
        <f t="shared" si="49"/>
        <v>0</v>
      </c>
      <c r="X39" s="109">
        <f t="shared" si="49"/>
        <v>0</v>
      </c>
      <c r="Y39" s="109">
        <f t="shared" si="49"/>
        <v>0</v>
      </c>
      <c r="Z39" s="109">
        <f t="shared" si="49"/>
        <v>0</v>
      </c>
      <c r="AA39" s="109">
        <f t="shared" si="49"/>
        <v>0</v>
      </c>
      <c r="AB39" s="109">
        <f t="shared" si="49"/>
        <v>0</v>
      </c>
      <c r="AC39" s="109">
        <f t="shared" si="49"/>
        <v>0</v>
      </c>
      <c r="AD39" s="109">
        <f t="shared" si="49"/>
        <v>0</v>
      </c>
      <c r="AE39" s="109">
        <f t="shared" si="49"/>
        <v>0</v>
      </c>
      <c r="AF39" s="126">
        <f t="shared" si="49"/>
        <v>0</v>
      </c>
      <c r="AG39" s="126">
        <f t="shared" si="49"/>
        <v>0</v>
      </c>
      <c r="AH39" s="126">
        <f t="shared" si="49"/>
        <v>0</v>
      </c>
      <c r="AI39" s="126">
        <f t="shared" si="49"/>
        <v>0</v>
      </c>
      <c r="AJ39" s="126">
        <f t="shared" si="49"/>
        <v>0</v>
      </c>
      <c r="AK39" s="126">
        <f t="shared" si="49"/>
        <v>0</v>
      </c>
      <c r="AL39" s="126">
        <f t="shared" si="49"/>
        <v>0</v>
      </c>
      <c r="AM39" s="126">
        <f t="shared" si="49"/>
        <v>0</v>
      </c>
      <c r="AN39" s="126">
        <f t="shared" si="49"/>
        <v>0</v>
      </c>
      <c r="AO39" s="126">
        <f t="shared" si="49"/>
        <v>0</v>
      </c>
      <c r="AP39" s="126">
        <f t="shared" si="49"/>
        <v>0</v>
      </c>
      <c r="AQ39" s="126">
        <f t="shared" si="49"/>
        <v>0</v>
      </c>
      <c r="AR39" s="126">
        <f t="shared" si="49"/>
        <v>0</v>
      </c>
      <c r="AS39" s="126">
        <f t="shared" si="49"/>
        <v>0</v>
      </c>
      <c r="AT39" s="126">
        <f t="shared" ref="AT39:AV39" si="56">AT20*$F39</f>
        <v>0</v>
      </c>
      <c r="AU39" s="126">
        <f t="shared" si="56"/>
        <v>0</v>
      </c>
      <c r="AV39" s="126">
        <f t="shared" si="56"/>
        <v>0</v>
      </c>
      <c r="AW39" s="220">
        <f t="shared" ref="AW39" si="57">AW20</f>
        <v>0</v>
      </c>
      <c r="AX39" s="220">
        <f t="shared" si="15"/>
        <v>0</v>
      </c>
      <c r="AY39" s="220">
        <f t="shared" si="15"/>
        <v>0</v>
      </c>
      <c r="AZ39" s="220">
        <f t="shared" si="15"/>
        <v>0</v>
      </c>
      <c r="BA39" s="220">
        <f t="shared" si="15"/>
        <v>0</v>
      </c>
      <c r="BB39" s="220">
        <f t="shared" ref="BB39:BC39" si="58">BB20</f>
        <v>0</v>
      </c>
      <c r="BC39" s="220">
        <f t="shared" si="58"/>
        <v>0</v>
      </c>
    </row>
    <row r="40" spans="1:55" ht="17.25" thickBot="1" x14ac:dyDescent="0.3">
      <c r="A40" s="129" t="str">
        <f t="shared" si="26"/>
        <v>x</v>
      </c>
      <c r="B40" s="121">
        <f t="shared" si="0"/>
        <v>0</v>
      </c>
      <c r="C40" s="130"/>
      <c r="D40" s="120" t="e">
        <f t="shared" si="1"/>
        <v>#DIV/0!</v>
      </c>
      <c r="E40" s="184">
        <f t="shared" si="2"/>
        <v>0</v>
      </c>
      <c r="F40" s="117">
        <f t="shared" si="3"/>
        <v>0</v>
      </c>
      <c r="G40" s="117">
        <f t="shared" si="3"/>
        <v>0</v>
      </c>
      <c r="H40" s="117">
        <f t="shared" si="3"/>
        <v>0</v>
      </c>
      <c r="I40" s="117">
        <f t="shared" si="3"/>
        <v>0</v>
      </c>
      <c r="J40" s="117">
        <f t="shared" si="3"/>
        <v>0</v>
      </c>
      <c r="K40" s="117">
        <f t="shared" si="10"/>
        <v>0</v>
      </c>
      <c r="L40" s="117">
        <f t="shared" si="11"/>
        <v>0</v>
      </c>
      <c r="M40" s="117">
        <f t="shared" si="3"/>
        <v>0</v>
      </c>
      <c r="N40" s="117">
        <f t="shared" si="3"/>
        <v>0</v>
      </c>
      <c r="O40" s="121">
        <f t="shared" si="3"/>
        <v>0</v>
      </c>
      <c r="P40" s="117">
        <f t="shared" si="3"/>
        <v>0</v>
      </c>
      <c r="Q40" s="117">
        <f t="shared" si="3"/>
        <v>0</v>
      </c>
      <c r="R40" s="117">
        <f t="shared" si="4"/>
        <v>0</v>
      </c>
      <c r="S40" s="117">
        <f t="shared" si="4"/>
        <v>0</v>
      </c>
      <c r="T40" s="117">
        <f t="shared" si="4"/>
        <v>0</v>
      </c>
      <c r="U40" s="117">
        <f t="shared" si="4"/>
        <v>0</v>
      </c>
      <c r="V40" s="117">
        <f t="shared" si="12"/>
        <v>0</v>
      </c>
      <c r="W40" s="117">
        <f t="shared" si="49"/>
        <v>0</v>
      </c>
      <c r="X40" s="117">
        <f t="shared" si="49"/>
        <v>0</v>
      </c>
      <c r="Y40" s="117">
        <f t="shared" si="49"/>
        <v>0</v>
      </c>
      <c r="Z40" s="117">
        <f t="shared" si="49"/>
        <v>0</v>
      </c>
      <c r="AA40" s="117">
        <f t="shared" si="49"/>
        <v>0</v>
      </c>
      <c r="AB40" s="117">
        <f t="shared" si="49"/>
        <v>0</v>
      </c>
      <c r="AC40" s="117">
        <f t="shared" si="49"/>
        <v>0</v>
      </c>
      <c r="AD40" s="117">
        <f t="shared" si="49"/>
        <v>0</v>
      </c>
      <c r="AE40" s="117">
        <f t="shared" si="49"/>
        <v>0</v>
      </c>
      <c r="AF40" s="131">
        <f t="shared" si="49"/>
        <v>0</v>
      </c>
      <c r="AG40" s="131">
        <f t="shared" si="49"/>
        <v>0</v>
      </c>
      <c r="AH40" s="131">
        <f t="shared" si="49"/>
        <v>0</v>
      </c>
      <c r="AI40" s="131">
        <f t="shared" si="49"/>
        <v>0</v>
      </c>
      <c r="AJ40" s="131">
        <f t="shared" si="49"/>
        <v>0</v>
      </c>
      <c r="AK40" s="131">
        <f t="shared" si="49"/>
        <v>0</v>
      </c>
      <c r="AL40" s="131">
        <f t="shared" si="49"/>
        <v>0</v>
      </c>
      <c r="AM40" s="131">
        <f t="shared" si="49"/>
        <v>0</v>
      </c>
      <c r="AN40" s="131">
        <f t="shared" si="49"/>
        <v>0</v>
      </c>
      <c r="AO40" s="131">
        <f t="shared" si="49"/>
        <v>0</v>
      </c>
      <c r="AP40" s="131">
        <f t="shared" si="49"/>
        <v>0</v>
      </c>
      <c r="AQ40" s="131">
        <f t="shared" si="49"/>
        <v>0</v>
      </c>
      <c r="AR40" s="131">
        <f t="shared" si="49"/>
        <v>0</v>
      </c>
      <c r="AS40" s="131">
        <f t="shared" si="49"/>
        <v>0</v>
      </c>
      <c r="AT40" s="131">
        <f t="shared" ref="AT40:AV40" si="59">AT21*$F40</f>
        <v>0</v>
      </c>
      <c r="AU40" s="131">
        <f t="shared" si="59"/>
        <v>0</v>
      </c>
      <c r="AV40" s="131">
        <f t="shared" si="59"/>
        <v>0</v>
      </c>
      <c r="AW40" s="221">
        <f t="shared" ref="AW40" si="60">AW21</f>
        <v>0</v>
      </c>
      <c r="AX40" s="221">
        <f t="shared" si="15"/>
        <v>0</v>
      </c>
      <c r="AY40" s="221">
        <f t="shared" si="15"/>
        <v>0</v>
      </c>
      <c r="AZ40" s="221">
        <f t="shared" si="15"/>
        <v>0</v>
      </c>
      <c r="BA40" s="221">
        <f t="shared" si="15"/>
        <v>0</v>
      </c>
      <c r="BB40" s="221">
        <f t="shared" ref="BB40:BC40" si="61">BB21</f>
        <v>0</v>
      </c>
      <c r="BC40" s="221">
        <f t="shared" si="61"/>
        <v>0</v>
      </c>
    </row>
    <row r="41" spans="1:55" ht="18" thickTop="1" thickBot="1" x14ac:dyDescent="0.3">
      <c r="B41" s="109"/>
      <c r="D41" s="111"/>
      <c r="E41" s="82"/>
      <c r="AF41" s="77"/>
      <c r="AG41" s="77"/>
      <c r="AH41" s="77"/>
      <c r="AI41" s="77"/>
    </row>
    <row r="42" spans="1:55" ht="17.25" hidden="1" thickBot="1" x14ac:dyDescent="0.3">
      <c r="A42" s="89" t="s">
        <v>32</v>
      </c>
      <c r="B42" s="77"/>
      <c r="C42" s="113">
        <f t="shared" ref="C42" si="62">SUM(C25:C40)</f>
        <v>0</v>
      </c>
      <c r="D42" s="111" t="e">
        <f>SUM(D25:D40)</f>
        <v>#DIV/0!</v>
      </c>
      <c r="E42" s="113">
        <f>SUM(E25:E40)</f>
        <v>0</v>
      </c>
      <c r="F42" s="90">
        <f>SUM(F25:F40)</f>
        <v>0</v>
      </c>
      <c r="G42" s="90">
        <f t="shared" ref="G42:AS42" si="63">SUM(G25:G40)</f>
        <v>0</v>
      </c>
      <c r="H42" s="90">
        <f t="shared" si="63"/>
        <v>0</v>
      </c>
      <c r="I42" s="90">
        <f t="shared" si="63"/>
        <v>0</v>
      </c>
      <c r="J42" s="90">
        <f t="shared" si="63"/>
        <v>0</v>
      </c>
      <c r="K42" s="90">
        <f t="shared" si="63"/>
        <v>0</v>
      </c>
      <c r="L42" s="90">
        <f t="shared" si="63"/>
        <v>0</v>
      </c>
      <c r="M42" s="90">
        <f t="shared" si="63"/>
        <v>0</v>
      </c>
      <c r="N42" s="90">
        <f t="shared" si="63"/>
        <v>0</v>
      </c>
      <c r="O42" s="90">
        <f t="shared" si="63"/>
        <v>0</v>
      </c>
      <c r="P42" s="90">
        <f t="shared" si="63"/>
        <v>0</v>
      </c>
      <c r="Q42" s="90">
        <f t="shared" si="63"/>
        <v>0</v>
      </c>
      <c r="R42" s="90">
        <f t="shared" si="63"/>
        <v>0</v>
      </c>
      <c r="S42" s="90">
        <f t="shared" si="63"/>
        <v>0</v>
      </c>
      <c r="T42" s="90">
        <f t="shared" si="63"/>
        <v>0</v>
      </c>
      <c r="U42" s="90">
        <f t="shared" si="63"/>
        <v>0</v>
      </c>
      <c r="V42" s="90">
        <f t="shared" si="63"/>
        <v>0</v>
      </c>
      <c r="W42" s="90">
        <f t="shared" si="63"/>
        <v>0</v>
      </c>
      <c r="X42" s="90">
        <f t="shared" si="63"/>
        <v>0</v>
      </c>
      <c r="Y42" s="90">
        <f t="shared" si="63"/>
        <v>0</v>
      </c>
      <c r="Z42" s="90">
        <f t="shared" si="63"/>
        <v>0</v>
      </c>
      <c r="AA42" s="90">
        <f t="shared" si="63"/>
        <v>0</v>
      </c>
      <c r="AB42" s="90">
        <f t="shared" si="63"/>
        <v>0</v>
      </c>
      <c r="AC42" s="90">
        <f t="shared" si="63"/>
        <v>0</v>
      </c>
      <c r="AD42" s="90">
        <f t="shared" si="63"/>
        <v>0</v>
      </c>
      <c r="AE42" s="90">
        <f t="shared" si="63"/>
        <v>0</v>
      </c>
      <c r="AF42" s="90">
        <f t="shared" si="63"/>
        <v>0</v>
      </c>
      <c r="AG42" s="90">
        <f t="shared" si="63"/>
        <v>0</v>
      </c>
      <c r="AH42" s="90">
        <f t="shared" si="63"/>
        <v>0</v>
      </c>
      <c r="AI42" s="90">
        <f t="shared" si="63"/>
        <v>0</v>
      </c>
      <c r="AJ42" s="90">
        <f t="shared" si="63"/>
        <v>0</v>
      </c>
      <c r="AK42" s="90">
        <f t="shared" si="63"/>
        <v>0</v>
      </c>
      <c r="AL42" s="90">
        <f t="shared" si="63"/>
        <v>0</v>
      </c>
      <c r="AM42" s="90">
        <f t="shared" si="63"/>
        <v>0</v>
      </c>
      <c r="AN42" s="90">
        <f t="shared" si="63"/>
        <v>0</v>
      </c>
      <c r="AO42" s="90">
        <f t="shared" si="63"/>
        <v>0</v>
      </c>
      <c r="AP42" s="90">
        <f t="shared" si="63"/>
        <v>0</v>
      </c>
      <c r="AQ42" s="90">
        <f t="shared" si="63"/>
        <v>0</v>
      </c>
      <c r="AR42" s="90">
        <f t="shared" si="63"/>
        <v>0</v>
      </c>
      <c r="AS42" s="90">
        <f t="shared" si="63"/>
        <v>0</v>
      </c>
      <c r="AT42" s="113">
        <f>SUM(AT25:AT40)</f>
        <v>0</v>
      </c>
      <c r="AU42" s="113">
        <f t="shared" ref="AU42:AV42" si="64">SUM(AU25:AU40)</f>
        <v>0</v>
      </c>
      <c r="AV42" s="113">
        <f t="shared" si="64"/>
        <v>0</v>
      </c>
      <c r="AW42" s="113">
        <f>SUM(AW25:AW40)</f>
        <v>0</v>
      </c>
      <c r="AX42" s="113">
        <f t="shared" ref="AX42:BA42" si="65">SUM(AX25:AX40)</f>
        <v>0</v>
      </c>
      <c r="AY42" s="113">
        <f t="shared" si="65"/>
        <v>0</v>
      </c>
      <c r="AZ42" s="113">
        <f t="shared" si="65"/>
        <v>0</v>
      </c>
      <c r="BA42" s="113">
        <f t="shared" si="65"/>
        <v>0</v>
      </c>
      <c r="BB42" s="113">
        <f t="shared" ref="BB42:BC42" si="66">SUM(BB25:BB40)</f>
        <v>0</v>
      </c>
      <c r="BC42" s="113">
        <f t="shared" si="66"/>
        <v>0</v>
      </c>
    </row>
    <row r="43" spans="1:55" ht="18" thickTop="1" thickBot="1" x14ac:dyDescent="0.3">
      <c r="A43" s="133" t="s">
        <v>238</v>
      </c>
      <c r="B43" s="140" t="e">
        <f>SUM(B25:B40)/C42</f>
        <v>#DIV/0!</v>
      </c>
      <c r="C43" s="135"/>
      <c r="D43" s="136"/>
      <c r="E43" s="138" t="e">
        <f>E42/C42</f>
        <v>#DIV/0!</v>
      </c>
      <c r="F43" s="138" t="e">
        <f t="shared" ref="F43:U43" si="67">F42/$E42</f>
        <v>#DIV/0!</v>
      </c>
      <c r="G43" s="138" t="e">
        <f t="shared" si="67"/>
        <v>#DIV/0!</v>
      </c>
      <c r="H43" s="138" t="e">
        <f t="shared" si="67"/>
        <v>#DIV/0!</v>
      </c>
      <c r="I43" s="139" t="e">
        <f t="shared" si="67"/>
        <v>#DIV/0!</v>
      </c>
      <c r="J43" s="139" t="e">
        <f t="shared" si="67"/>
        <v>#DIV/0!</v>
      </c>
      <c r="K43" s="139" t="e">
        <f t="shared" si="67"/>
        <v>#DIV/0!</v>
      </c>
      <c r="L43" s="139" t="e">
        <f t="shared" si="67"/>
        <v>#DIV/0!</v>
      </c>
      <c r="M43" s="139" t="e">
        <f t="shared" si="67"/>
        <v>#DIV/0!</v>
      </c>
      <c r="N43" s="139" t="e">
        <f t="shared" si="67"/>
        <v>#DIV/0!</v>
      </c>
      <c r="O43" s="140" t="e">
        <f t="shared" si="67"/>
        <v>#DIV/0!</v>
      </c>
      <c r="P43" s="139" t="e">
        <f t="shared" si="67"/>
        <v>#DIV/0!</v>
      </c>
      <c r="Q43" s="139" t="e">
        <f t="shared" si="67"/>
        <v>#DIV/0!</v>
      </c>
      <c r="R43" s="139" t="e">
        <f t="shared" si="67"/>
        <v>#DIV/0!</v>
      </c>
      <c r="S43" s="139" t="e">
        <f t="shared" si="67"/>
        <v>#DIV/0!</v>
      </c>
      <c r="T43" s="139" t="e">
        <f t="shared" si="67"/>
        <v>#DIV/0!</v>
      </c>
      <c r="U43" s="139" t="e">
        <f t="shared" si="67"/>
        <v>#DIV/0!</v>
      </c>
      <c r="V43" s="222" t="e">
        <f>((V25*U25)+(V26*U26)+(V27*U27)+(V28*U28)+(V29*U29)+(V30*U30)+(V31*U31)+(V32*U32)+(V33*U33)+(V34*U34)+(V35*U35)+(V36*U36)+(V37*U37)+(V38*U38)+(V39*U39)+(V40*U40))/SUM(U25:U40)</f>
        <v>#DIV/0!</v>
      </c>
      <c r="W43" s="138" t="e">
        <f t="shared" ref="W43:AQ43" si="68">W42/$E42</f>
        <v>#DIV/0!</v>
      </c>
      <c r="X43" s="138" t="e">
        <f t="shared" si="68"/>
        <v>#DIV/0!</v>
      </c>
      <c r="Y43" s="138" t="e">
        <f t="shared" si="68"/>
        <v>#DIV/0!</v>
      </c>
      <c r="Z43" s="138" t="e">
        <f t="shared" si="68"/>
        <v>#DIV/0!</v>
      </c>
      <c r="AA43" s="138" t="e">
        <f t="shared" si="68"/>
        <v>#DIV/0!</v>
      </c>
      <c r="AB43" s="138" t="e">
        <f t="shared" si="68"/>
        <v>#DIV/0!</v>
      </c>
      <c r="AC43" s="138" t="e">
        <f t="shared" si="68"/>
        <v>#DIV/0!</v>
      </c>
      <c r="AD43" s="138" t="e">
        <f t="shared" si="68"/>
        <v>#DIV/0!</v>
      </c>
      <c r="AE43" s="138" t="e">
        <f t="shared" si="68"/>
        <v>#DIV/0!</v>
      </c>
      <c r="AF43" s="140" t="e">
        <f t="shared" si="68"/>
        <v>#DIV/0!</v>
      </c>
      <c r="AG43" s="137" t="e">
        <f t="shared" si="68"/>
        <v>#DIV/0!</v>
      </c>
      <c r="AH43" s="137" t="e">
        <f t="shared" si="68"/>
        <v>#DIV/0!</v>
      </c>
      <c r="AI43" s="137" t="e">
        <f t="shared" si="68"/>
        <v>#DIV/0!</v>
      </c>
      <c r="AJ43" s="140" t="e">
        <f t="shared" si="68"/>
        <v>#DIV/0!</v>
      </c>
      <c r="AK43" s="140" t="e">
        <f t="shared" si="68"/>
        <v>#DIV/0!</v>
      </c>
      <c r="AL43" s="137" t="e">
        <f t="shared" si="68"/>
        <v>#DIV/0!</v>
      </c>
      <c r="AM43" s="137" t="e">
        <f t="shared" si="68"/>
        <v>#DIV/0!</v>
      </c>
      <c r="AN43" s="137" t="e">
        <f t="shared" si="68"/>
        <v>#DIV/0!</v>
      </c>
      <c r="AO43" s="137" t="e">
        <f t="shared" si="68"/>
        <v>#DIV/0!</v>
      </c>
      <c r="AP43" s="137" t="e">
        <f t="shared" si="68"/>
        <v>#DIV/0!</v>
      </c>
      <c r="AQ43" s="137" t="e">
        <f t="shared" si="68"/>
        <v>#DIV/0!</v>
      </c>
      <c r="AR43" s="137" t="e">
        <f t="shared" ref="AR43:AS43" si="69">AR42/$E42</f>
        <v>#DIV/0!</v>
      </c>
      <c r="AS43" s="137" t="e">
        <f t="shared" si="69"/>
        <v>#DIV/0!</v>
      </c>
      <c r="AT43" s="222" t="e">
        <f>AT42/$F42</f>
        <v>#DIV/0!</v>
      </c>
      <c r="AU43" s="222" t="e">
        <f t="shared" ref="AU43:AV43" si="70">AU42/$F42</f>
        <v>#DIV/0!</v>
      </c>
      <c r="AV43" s="222" t="e">
        <f t="shared" si="70"/>
        <v>#DIV/0!</v>
      </c>
      <c r="AW43" s="222" t="e">
        <f>((AW25*AU25)+(AW26*AU26)+(AW27*AU27)+(AW28*AU28)+(AW29*AU29)+(AW30*AU30)+(AW31*AU31)+(AW32*AU32)+(AW33*AU33)+(AW34*AU34)+(AW35*AU35)+(AW36*AU36)+(AW37*AU37)+(AW38*AU38)+(AW39*AU39)+(AW40*AU40))/SUM(AU25:AU40)</f>
        <v>#DIV/0!</v>
      </c>
      <c r="AX43" s="222" t="e">
        <f>((AX25*H25)+(AX26*H26)+(AX27*H27)+(AX28*H28)+(AX29*H29)+(AX30*H30)+(AX31*H31)+(AX32*H32)+(AX33*H33)+(AX34*H34)+(AX35*H35)+(AX36*H36)+(AX37*H37)+(AX38*H38)+(AX39*H39)+(AX40*H40))/SUM(H25:H40)</f>
        <v>#DIV/0!</v>
      </c>
      <c r="AY43" s="140" t="e">
        <f>((AY25*F25)+(AY26*F26)+(AY27*F27)+(AY28*F28)+(AY29*F29)+(AY30*F30)+(AY31*F31)+(AY32*F32)+(AY33*F33)+(AY34*F34)+(AY35*F35)+(AY36*F36)+(AY37*F37)+(AY38*F38)+(AY39*F39)+(AY40*F40))/SUM(F25:F40)</f>
        <v>#DIV/0!</v>
      </c>
      <c r="AZ43" s="140" t="e">
        <f>((AZ25*I25)+(AZ26*I26)+(AZ27*I27)+(AZ28*I28)+(AZ29*I29)+(AZ30*I30)+(AZ31*I31)+(AZ32*I32)+(AZ33*I33)+(AZ34*I34)+(AZ35*I35)+(AZ36*I36)+(AZ37*I37)+(AZ38*I38)+(AZ39*I39)+(AZ40*I40))/SUM(I25:I40)</f>
        <v>#DIV/0!</v>
      </c>
      <c r="BA43" s="140" t="e">
        <f>((BA25*Q25)+(BA26*Q26)+(BA27*Q27)+(BA28*Q28)+(BA29*Q29)+(BA30*Q30)+(BA31*Q31)+(BA32*Q32)+(BA33*Q33)+(BA34*Q34)+(BA35*Q35)+(BA36*Q36)+(BA37*Q37)+(BA38*Q38)+(BA39*Q39)+(BA40*Q40))/SUM(Q25:Q40)</f>
        <v>#DIV/0!</v>
      </c>
      <c r="BB43" s="140" t="e">
        <f>((BB25*F25)+(BB26*F26)+(BB27*F27)+(BB28*F28)+(BB29*F29)+(BB30*F30)+(BB31*F31)+(BB32*F32)+(BB33*F33)+(BB34*F34)+(BB35*F35)+(BB36*F36)+(BB37*F37)+(BB38*F38)+(BB39*F39)+(BB40*F40))/SUM(F25:F40)</f>
        <v>#DIV/0!</v>
      </c>
      <c r="BC43" s="140" t="e">
        <f>((BC25*F25)+(BC26*F26)+(BC27*F27)+(BC28*F28)+(BC29*F29)+(BC30*F30)+(BC31*F31)+(BC32*F32)+(BC33*F33)+(BC34*F34)+(BC35*F35)+(BC36*F36)+(BC37*F37)+(BC38*F38)+(BC39*F39)+(BC40*F40))/SUM(F25:F40)</f>
        <v>#DIV/0!</v>
      </c>
    </row>
    <row r="44" spans="1:55" s="87" customFormat="1" ht="6.75" customHeight="1" thickTop="1" thickBot="1" x14ac:dyDescent="0.3">
      <c r="A44" s="142"/>
      <c r="B44" s="109"/>
      <c r="C44" s="77"/>
      <c r="D44" s="77"/>
      <c r="E44" s="143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  <c r="AA44" s="143"/>
      <c r="AB44" s="143"/>
      <c r="AC44" s="143"/>
      <c r="AD44" s="143"/>
      <c r="AE44" s="143"/>
      <c r="AF44" s="143"/>
      <c r="AG44" s="143"/>
      <c r="AH44" s="143"/>
      <c r="AI44" s="143"/>
      <c r="AJ44" s="143"/>
      <c r="AK44" s="143"/>
      <c r="AL44" s="143"/>
      <c r="AM44" s="144"/>
      <c r="AN44" s="144"/>
      <c r="AO44" s="144"/>
      <c r="AP44" s="143"/>
      <c r="AQ44" s="143"/>
      <c r="AR44" s="143"/>
      <c r="AS44" s="143"/>
    </row>
    <row r="45" spans="1:55" ht="18" thickTop="1" thickBot="1" x14ac:dyDescent="0.3">
      <c r="A45" s="150"/>
      <c r="B45" s="150"/>
      <c r="C45" s="150"/>
      <c r="D45" s="150"/>
      <c r="E45" s="150"/>
      <c r="F45" s="149"/>
      <c r="G45" s="150"/>
      <c r="H45" s="149"/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W45" s="150"/>
      <c r="X45" s="150"/>
      <c r="Y45" s="150"/>
      <c r="Z45" s="150"/>
      <c r="AA45" s="150"/>
      <c r="AB45" s="150"/>
      <c r="AC45" s="150"/>
      <c r="AD45" s="150"/>
      <c r="AE45" s="150"/>
      <c r="AF45" s="151"/>
      <c r="AG45" s="148"/>
      <c r="AH45" s="148"/>
      <c r="AI45" s="148"/>
      <c r="AJ45" s="151"/>
      <c r="AK45" s="151"/>
      <c r="AL45" s="148"/>
      <c r="AM45" s="152"/>
      <c r="AN45" s="152"/>
      <c r="AO45" s="152"/>
      <c r="AP45" s="148"/>
      <c r="AQ45" s="148"/>
      <c r="AR45" s="148"/>
      <c r="AS45" s="223"/>
      <c r="AT45" s="223"/>
      <c r="AU45" s="223"/>
      <c r="AV45" s="223"/>
      <c r="AW45" s="223"/>
      <c r="AX45" s="223"/>
      <c r="AY45" s="223"/>
      <c r="AZ45" s="223"/>
      <c r="BA45" s="223"/>
      <c r="BB45" s="223"/>
      <c r="BC45" s="223"/>
    </row>
    <row r="46" spans="1:55" ht="18" thickTop="1" thickBot="1" x14ac:dyDescent="0.3">
      <c r="B46" s="77"/>
      <c r="C46" s="89"/>
      <c r="D46" s="90"/>
      <c r="E46" s="224"/>
      <c r="F46" s="85"/>
      <c r="H46" s="77"/>
      <c r="K46" s="77"/>
      <c r="L46" s="77"/>
      <c r="O46" s="77"/>
      <c r="P46" s="77"/>
      <c r="Q46" s="77"/>
      <c r="T46" s="77"/>
      <c r="U46" s="77"/>
      <c r="W46" s="85"/>
      <c r="AB46" s="85"/>
      <c r="AC46" s="85"/>
      <c r="AE46" s="85"/>
      <c r="AF46" s="98"/>
      <c r="AG46" s="98"/>
      <c r="AH46" s="98"/>
      <c r="AI46" s="98"/>
      <c r="AJ46" s="98"/>
      <c r="AK46" s="98"/>
      <c r="AL46" s="98"/>
      <c r="AM46" s="98"/>
      <c r="AN46" s="98"/>
      <c r="AO46" s="98"/>
      <c r="AR46" s="98"/>
      <c r="AS46" s="98"/>
      <c r="AT46" s="98"/>
      <c r="AU46" s="98"/>
    </row>
    <row r="47" spans="1:55" ht="18" thickTop="1" thickBot="1" x14ac:dyDescent="0.3">
      <c r="A47" s="98" t="s">
        <v>69</v>
      </c>
      <c r="B47" s="225"/>
      <c r="C47" s="226"/>
      <c r="F47" s="90"/>
      <c r="G47" s="87"/>
      <c r="I47" s="202"/>
      <c r="K47" s="203"/>
      <c r="M47" s="77"/>
      <c r="P47" s="85"/>
      <c r="Q47" s="77"/>
      <c r="V47" s="85"/>
      <c r="X47" s="85"/>
      <c r="AE47" s="85"/>
      <c r="AF47" s="85"/>
      <c r="AG47" s="85"/>
      <c r="AH47" s="85"/>
      <c r="AT47" s="98"/>
      <c r="AU47" s="98"/>
    </row>
    <row r="48" spans="1:55" ht="13.5" customHeight="1" thickTop="1" thickBot="1" x14ac:dyDescent="0.3">
      <c r="A48" s="227" t="s">
        <v>54</v>
      </c>
      <c r="B48" s="228"/>
      <c r="C48" s="229"/>
      <c r="D48" s="229"/>
      <c r="E48" s="229"/>
      <c r="F48" s="229"/>
      <c r="G48" s="230"/>
      <c r="H48" s="185"/>
      <c r="I48" s="156"/>
      <c r="K48" s="158"/>
      <c r="M48" s="77"/>
      <c r="N48" s="75"/>
      <c r="O48" s="161"/>
      <c r="P48" s="85"/>
      <c r="Q48" s="77"/>
      <c r="X48" s="77"/>
      <c r="AA48" s="77"/>
      <c r="AE48" s="85"/>
      <c r="AF48" s="85"/>
      <c r="AG48" s="85"/>
      <c r="AH48" s="85"/>
    </row>
    <row r="49" spans="1:35" ht="17.25" thickTop="1" x14ac:dyDescent="0.25">
      <c r="A49" s="92" t="s">
        <v>55</v>
      </c>
      <c r="B49" s="231" t="s">
        <v>58</v>
      </c>
      <c r="C49" s="85" t="s">
        <v>57</v>
      </c>
      <c r="D49" s="85" t="s">
        <v>56</v>
      </c>
      <c r="E49" s="82" t="s">
        <v>59</v>
      </c>
      <c r="F49" s="85" t="s">
        <v>63</v>
      </c>
      <c r="G49" s="232" t="s">
        <v>62</v>
      </c>
      <c r="I49" s="156"/>
      <c r="K49" s="158"/>
      <c r="M49" s="77"/>
      <c r="N49" s="75"/>
      <c r="O49" s="161"/>
      <c r="P49" s="85"/>
      <c r="Q49" s="77"/>
      <c r="X49" s="77"/>
      <c r="Z49" s="77"/>
      <c r="AA49" s="77"/>
      <c r="AB49" s="77"/>
      <c r="AC49" s="77"/>
      <c r="AD49" s="77"/>
      <c r="AE49" s="77"/>
      <c r="AF49" s="77"/>
      <c r="AG49" s="77"/>
      <c r="AH49" s="77"/>
      <c r="AI49" s="77"/>
    </row>
    <row r="50" spans="1:35" ht="13.5" customHeight="1" x14ac:dyDescent="0.25">
      <c r="A50" s="88" t="str">
        <f t="shared" ref="A50:A65" si="71">A25</f>
        <v>x</v>
      </c>
      <c r="B50" s="233"/>
      <c r="C50" s="109" t="str">
        <f t="shared" ref="C50:C65" si="72">IF(B50="x",B6,"")</f>
        <v/>
      </c>
      <c r="D50" s="112" t="str">
        <f t="shared" ref="D50:D65" si="73">IF(B50="X",C25/$B$67,"")</f>
        <v/>
      </c>
      <c r="E50" s="126" t="str">
        <f t="shared" ref="E50:E65" si="74">IF(B50="x",$B$47*D50,"")</f>
        <v/>
      </c>
      <c r="F50" s="234" t="str">
        <f t="shared" ref="F50:F65" si="75">IF(B50="x",D50*C50,"")</f>
        <v/>
      </c>
      <c r="G50" s="235" t="str">
        <f t="shared" ref="G50:G65" si="76">IF(B50="x",F50/$F$66,"")</f>
        <v/>
      </c>
      <c r="I50" s="156"/>
      <c r="K50" s="204"/>
      <c r="L50" s="77"/>
      <c r="M50" s="77"/>
      <c r="N50" s="75"/>
      <c r="O50" s="189"/>
      <c r="P50" s="85"/>
      <c r="Q50" s="77"/>
      <c r="Z50" s="85"/>
      <c r="AA50" s="85"/>
      <c r="AE50" s="85"/>
      <c r="AF50" s="85"/>
      <c r="AG50" s="85"/>
      <c r="AH50" s="85"/>
      <c r="AI50" s="85"/>
    </row>
    <row r="51" spans="1:35" ht="13.5" customHeight="1" x14ac:dyDescent="0.25">
      <c r="A51" s="88" t="str">
        <f t="shared" si="71"/>
        <v>x</v>
      </c>
      <c r="B51" s="233"/>
      <c r="C51" s="109" t="str">
        <f t="shared" si="72"/>
        <v/>
      </c>
      <c r="D51" s="112" t="str">
        <f t="shared" si="73"/>
        <v/>
      </c>
      <c r="E51" s="126" t="str">
        <f t="shared" si="74"/>
        <v/>
      </c>
      <c r="F51" s="234" t="str">
        <f t="shared" si="75"/>
        <v/>
      </c>
      <c r="G51" s="235" t="str">
        <f t="shared" si="76"/>
        <v/>
      </c>
      <c r="K51" s="77"/>
      <c r="L51" s="77"/>
      <c r="M51" s="77"/>
      <c r="N51" s="75"/>
      <c r="O51" s="159"/>
      <c r="P51" s="85"/>
      <c r="Q51" s="77"/>
      <c r="R51" s="85"/>
    </row>
    <row r="52" spans="1:35" x14ac:dyDescent="0.25">
      <c r="A52" s="88" t="str">
        <f t="shared" si="71"/>
        <v>x</v>
      </c>
      <c r="B52" s="233"/>
      <c r="C52" s="109" t="str">
        <f t="shared" si="72"/>
        <v/>
      </c>
      <c r="D52" s="112" t="str">
        <f t="shared" si="73"/>
        <v/>
      </c>
      <c r="E52" s="126" t="str">
        <f t="shared" si="74"/>
        <v/>
      </c>
      <c r="F52" s="234" t="str">
        <f t="shared" si="75"/>
        <v/>
      </c>
      <c r="G52" s="235" t="str">
        <f t="shared" si="76"/>
        <v/>
      </c>
      <c r="K52" s="77"/>
      <c r="L52" s="77"/>
      <c r="M52" s="77"/>
      <c r="N52" s="75"/>
      <c r="O52" s="159"/>
      <c r="P52" s="163"/>
      <c r="Q52" s="77"/>
      <c r="V52" s="124"/>
    </row>
    <row r="53" spans="1:35" x14ac:dyDescent="0.25">
      <c r="A53" s="88" t="str">
        <f t="shared" si="71"/>
        <v>x</v>
      </c>
      <c r="B53" s="233"/>
      <c r="C53" s="109" t="str">
        <f t="shared" si="72"/>
        <v/>
      </c>
      <c r="D53" s="112" t="str">
        <f t="shared" si="73"/>
        <v/>
      </c>
      <c r="E53" s="126" t="str">
        <f t="shared" si="74"/>
        <v/>
      </c>
      <c r="F53" s="234" t="str">
        <f t="shared" si="75"/>
        <v/>
      </c>
      <c r="G53" s="235" t="str">
        <f t="shared" si="76"/>
        <v/>
      </c>
      <c r="I53" s="124"/>
      <c r="K53" s="77"/>
      <c r="L53" s="77"/>
      <c r="M53" s="77"/>
      <c r="N53" s="190"/>
      <c r="O53" s="165"/>
      <c r="P53" s="168"/>
      <c r="Q53" s="124"/>
      <c r="R53" s="124"/>
      <c r="V53" s="124"/>
    </row>
    <row r="54" spans="1:35" x14ac:dyDescent="0.25">
      <c r="A54" s="88" t="str">
        <f t="shared" si="71"/>
        <v>x</v>
      </c>
      <c r="B54" s="233"/>
      <c r="C54" s="109" t="str">
        <f t="shared" si="72"/>
        <v/>
      </c>
      <c r="D54" s="112" t="str">
        <f t="shared" si="73"/>
        <v/>
      </c>
      <c r="E54" s="126" t="str">
        <f t="shared" si="74"/>
        <v/>
      </c>
      <c r="F54" s="234" t="str">
        <f t="shared" si="75"/>
        <v/>
      </c>
      <c r="G54" s="235" t="str">
        <f t="shared" si="76"/>
        <v/>
      </c>
      <c r="I54" s="124"/>
      <c r="J54" s="124"/>
      <c r="K54" s="124"/>
      <c r="L54" s="124"/>
      <c r="M54" s="124"/>
      <c r="P54" s="124"/>
      <c r="Q54" s="124"/>
      <c r="R54" s="124"/>
      <c r="V54" s="124"/>
    </row>
    <row r="55" spans="1:35" x14ac:dyDescent="0.25">
      <c r="A55" s="88" t="str">
        <f t="shared" si="71"/>
        <v>x</v>
      </c>
      <c r="B55" s="233"/>
      <c r="C55" s="109" t="str">
        <f t="shared" si="72"/>
        <v/>
      </c>
      <c r="D55" s="112" t="str">
        <f t="shared" si="73"/>
        <v/>
      </c>
      <c r="E55" s="126" t="str">
        <f t="shared" si="74"/>
        <v/>
      </c>
      <c r="F55" s="234" t="str">
        <f t="shared" si="75"/>
        <v/>
      </c>
      <c r="G55" s="235" t="str">
        <f t="shared" si="76"/>
        <v/>
      </c>
      <c r="I55" s="124"/>
      <c r="J55" s="124"/>
      <c r="K55" s="124"/>
      <c r="L55" s="124"/>
      <c r="M55" s="124"/>
      <c r="P55" s="124"/>
      <c r="Q55" s="124"/>
      <c r="R55" s="124"/>
      <c r="V55" s="124"/>
    </row>
    <row r="56" spans="1:35" x14ac:dyDescent="0.25">
      <c r="A56" s="88" t="str">
        <f t="shared" si="71"/>
        <v>x</v>
      </c>
      <c r="B56" s="233"/>
      <c r="C56" s="109" t="str">
        <f t="shared" si="72"/>
        <v/>
      </c>
      <c r="D56" s="112" t="str">
        <f t="shared" si="73"/>
        <v/>
      </c>
      <c r="E56" s="126" t="str">
        <f t="shared" si="74"/>
        <v/>
      </c>
      <c r="F56" s="234" t="str">
        <f t="shared" si="75"/>
        <v/>
      </c>
      <c r="G56" s="235" t="str">
        <f t="shared" si="76"/>
        <v/>
      </c>
      <c r="I56" s="124"/>
      <c r="J56" s="124"/>
      <c r="K56" s="124"/>
      <c r="L56" s="124"/>
      <c r="M56" s="124"/>
      <c r="P56" s="124"/>
      <c r="Q56" s="124"/>
      <c r="R56" s="124"/>
      <c r="V56" s="124"/>
    </row>
    <row r="57" spans="1:35" x14ac:dyDescent="0.25">
      <c r="A57" s="88" t="str">
        <f t="shared" si="71"/>
        <v>x</v>
      </c>
      <c r="B57" s="233"/>
      <c r="C57" s="109" t="str">
        <f t="shared" si="72"/>
        <v/>
      </c>
      <c r="D57" s="112" t="str">
        <f t="shared" si="73"/>
        <v/>
      </c>
      <c r="E57" s="126" t="str">
        <f t="shared" si="74"/>
        <v/>
      </c>
      <c r="F57" s="234" t="str">
        <f t="shared" si="75"/>
        <v/>
      </c>
      <c r="G57" s="235" t="str">
        <f t="shared" si="76"/>
        <v/>
      </c>
      <c r="I57" s="168"/>
      <c r="J57" s="168"/>
      <c r="K57" s="168"/>
      <c r="L57" s="168"/>
      <c r="M57" s="168"/>
      <c r="P57" s="168"/>
      <c r="Q57" s="168"/>
      <c r="R57" s="168"/>
      <c r="V57" s="168"/>
    </row>
    <row r="58" spans="1:35" x14ac:dyDescent="0.25">
      <c r="A58" s="88" t="str">
        <f t="shared" si="71"/>
        <v>x</v>
      </c>
      <c r="B58" s="233"/>
      <c r="C58" s="109" t="str">
        <f t="shared" si="72"/>
        <v/>
      </c>
      <c r="D58" s="112" t="str">
        <f t="shared" si="73"/>
        <v/>
      </c>
      <c r="E58" s="126" t="str">
        <f t="shared" si="74"/>
        <v/>
      </c>
      <c r="F58" s="234" t="str">
        <f t="shared" si="75"/>
        <v/>
      </c>
      <c r="G58" s="235" t="str">
        <f t="shared" si="76"/>
        <v/>
      </c>
      <c r="I58" s="168"/>
      <c r="K58" s="124"/>
      <c r="L58" s="124"/>
      <c r="M58" s="124"/>
      <c r="P58" s="124"/>
      <c r="Q58" s="124"/>
      <c r="R58" s="124"/>
      <c r="V58" s="124"/>
    </row>
    <row r="59" spans="1:35" x14ac:dyDescent="0.25">
      <c r="A59" s="88" t="str">
        <f t="shared" si="71"/>
        <v>x</v>
      </c>
      <c r="B59" s="233"/>
      <c r="C59" s="109" t="str">
        <f t="shared" si="72"/>
        <v/>
      </c>
      <c r="D59" s="112" t="str">
        <f t="shared" si="73"/>
        <v/>
      </c>
      <c r="E59" s="126" t="str">
        <f t="shared" si="74"/>
        <v/>
      </c>
      <c r="F59" s="234" t="str">
        <f t="shared" si="75"/>
        <v/>
      </c>
      <c r="G59" s="235" t="str">
        <f t="shared" si="76"/>
        <v/>
      </c>
      <c r="I59" s="168"/>
      <c r="J59" s="169"/>
      <c r="K59" s="124"/>
      <c r="L59" s="124"/>
      <c r="M59" s="124"/>
      <c r="P59" s="124"/>
      <c r="R59" s="124"/>
      <c r="V59" s="124"/>
    </row>
    <row r="60" spans="1:35" x14ac:dyDescent="0.25">
      <c r="A60" s="88" t="str">
        <f t="shared" si="71"/>
        <v>x</v>
      </c>
      <c r="B60" s="233"/>
      <c r="C60" s="109" t="str">
        <f t="shared" si="72"/>
        <v/>
      </c>
      <c r="D60" s="112" t="str">
        <f t="shared" si="73"/>
        <v/>
      </c>
      <c r="E60" s="126" t="str">
        <f t="shared" si="74"/>
        <v/>
      </c>
      <c r="F60" s="234" t="str">
        <f t="shared" si="75"/>
        <v/>
      </c>
      <c r="G60" s="235" t="str">
        <f t="shared" si="76"/>
        <v/>
      </c>
      <c r="H60" s="236"/>
      <c r="I60" s="170"/>
      <c r="J60" s="169"/>
      <c r="K60" s="170"/>
      <c r="L60" s="170"/>
      <c r="M60" s="170"/>
      <c r="P60" s="170"/>
      <c r="R60" s="124"/>
      <c r="V60" s="170"/>
    </row>
    <row r="61" spans="1:35" x14ac:dyDescent="0.25">
      <c r="A61" s="88" t="str">
        <f t="shared" si="71"/>
        <v>x</v>
      </c>
      <c r="B61" s="233"/>
      <c r="C61" s="109" t="str">
        <f t="shared" si="72"/>
        <v/>
      </c>
      <c r="D61" s="112" t="str">
        <f t="shared" si="73"/>
        <v/>
      </c>
      <c r="E61" s="126" t="str">
        <f t="shared" si="74"/>
        <v/>
      </c>
      <c r="F61" s="234" t="str">
        <f t="shared" si="75"/>
        <v/>
      </c>
      <c r="G61" s="235" t="str">
        <f t="shared" si="76"/>
        <v/>
      </c>
      <c r="I61" s="170"/>
      <c r="J61" s="169"/>
      <c r="K61" s="170"/>
      <c r="L61" s="170"/>
      <c r="M61" s="170"/>
      <c r="P61" s="170"/>
      <c r="R61" s="124"/>
      <c r="U61" s="170"/>
      <c r="V61" s="170"/>
    </row>
    <row r="62" spans="1:35" x14ac:dyDescent="0.25">
      <c r="A62" s="88" t="str">
        <f t="shared" si="71"/>
        <v>x</v>
      </c>
      <c r="B62" s="233"/>
      <c r="C62" s="109" t="str">
        <f t="shared" si="72"/>
        <v/>
      </c>
      <c r="D62" s="112" t="str">
        <f t="shared" si="73"/>
        <v/>
      </c>
      <c r="E62" s="126" t="str">
        <f t="shared" si="74"/>
        <v/>
      </c>
      <c r="F62" s="234" t="str">
        <f t="shared" si="75"/>
        <v/>
      </c>
      <c r="G62" s="235" t="str">
        <f t="shared" si="76"/>
        <v/>
      </c>
      <c r="I62" s="170"/>
      <c r="J62" s="169"/>
      <c r="K62" s="170"/>
      <c r="L62" s="170"/>
      <c r="M62" s="170"/>
      <c r="P62" s="170"/>
      <c r="R62" s="124"/>
      <c r="U62" s="170"/>
      <c r="V62" s="170"/>
    </row>
    <row r="63" spans="1:35" x14ac:dyDescent="0.25">
      <c r="A63" s="88" t="str">
        <f t="shared" si="71"/>
        <v>x</v>
      </c>
      <c r="B63" s="233"/>
      <c r="C63" s="109" t="str">
        <f t="shared" si="72"/>
        <v/>
      </c>
      <c r="D63" s="112" t="str">
        <f t="shared" si="73"/>
        <v/>
      </c>
      <c r="E63" s="126" t="str">
        <f t="shared" si="74"/>
        <v/>
      </c>
      <c r="F63" s="234" t="str">
        <f t="shared" si="75"/>
        <v/>
      </c>
      <c r="G63" s="235" t="str">
        <f t="shared" si="76"/>
        <v/>
      </c>
      <c r="I63" s="170"/>
      <c r="J63" s="169"/>
      <c r="K63" s="170"/>
      <c r="L63" s="170"/>
      <c r="M63" s="170"/>
      <c r="P63" s="170"/>
      <c r="Q63" s="170"/>
      <c r="R63" s="124"/>
      <c r="S63" s="170"/>
      <c r="T63" s="170"/>
      <c r="U63" s="170"/>
      <c r="V63" s="170"/>
    </row>
    <row r="64" spans="1:35" x14ac:dyDescent="0.25">
      <c r="A64" s="88" t="str">
        <f t="shared" si="71"/>
        <v>x</v>
      </c>
      <c r="B64" s="233"/>
      <c r="C64" s="109" t="str">
        <f t="shared" si="72"/>
        <v/>
      </c>
      <c r="D64" s="112" t="str">
        <f t="shared" si="73"/>
        <v/>
      </c>
      <c r="E64" s="126" t="str">
        <f t="shared" si="74"/>
        <v/>
      </c>
      <c r="F64" s="234" t="str">
        <f t="shared" si="75"/>
        <v/>
      </c>
      <c r="G64" s="235" t="str">
        <f t="shared" si="76"/>
        <v/>
      </c>
      <c r="I64" s="170"/>
      <c r="J64" s="169"/>
      <c r="K64" s="170"/>
      <c r="L64" s="170"/>
      <c r="M64" s="170"/>
      <c r="P64" s="170"/>
      <c r="Q64" s="170"/>
      <c r="R64" s="124"/>
      <c r="S64" s="170"/>
      <c r="T64" s="170"/>
      <c r="U64" s="170"/>
      <c r="V64" s="170"/>
    </row>
    <row r="65" spans="1:48" s="87" customFormat="1" ht="17.25" thickBot="1" x14ac:dyDescent="0.3">
      <c r="A65" s="88" t="str">
        <f t="shared" si="71"/>
        <v>x</v>
      </c>
      <c r="B65" s="237"/>
      <c r="C65" s="109" t="str">
        <f t="shared" si="72"/>
        <v/>
      </c>
      <c r="D65" s="112" t="str">
        <f t="shared" si="73"/>
        <v/>
      </c>
      <c r="E65" s="126" t="str">
        <f t="shared" si="74"/>
        <v/>
      </c>
      <c r="F65" s="234" t="str">
        <f t="shared" si="75"/>
        <v/>
      </c>
      <c r="G65" s="235" t="str">
        <f t="shared" si="76"/>
        <v/>
      </c>
      <c r="H65" s="90"/>
      <c r="I65" s="170"/>
      <c r="J65" s="171"/>
      <c r="K65" s="170"/>
      <c r="L65" s="170"/>
      <c r="M65" s="170"/>
      <c r="P65" s="170"/>
      <c r="Q65" s="170"/>
      <c r="R65" s="124"/>
      <c r="S65" s="170"/>
      <c r="T65" s="170"/>
      <c r="U65" s="170"/>
      <c r="V65" s="170"/>
      <c r="AJ65" s="77"/>
      <c r="AK65" s="77"/>
      <c r="AL65" s="77"/>
      <c r="AM65" s="77"/>
      <c r="AN65" s="77"/>
      <c r="AO65" s="77"/>
      <c r="AP65" s="77"/>
      <c r="AQ65" s="77"/>
      <c r="AR65" s="77"/>
      <c r="AS65" s="77"/>
      <c r="AT65" s="77"/>
      <c r="AU65" s="77"/>
      <c r="AV65" s="77"/>
    </row>
    <row r="66" spans="1:48" s="87" customFormat="1" ht="18" thickTop="1" thickBot="1" x14ac:dyDescent="0.3">
      <c r="A66" s="238" t="s">
        <v>32</v>
      </c>
      <c r="B66" s="239"/>
      <c r="C66" s="240"/>
      <c r="D66" s="241">
        <f>SUM(D50:D65)</f>
        <v>0</v>
      </c>
      <c r="E66" s="242">
        <f>SUM(E50:E65)</f>
        <v>0</v>
      </c>
      <c r="F66" s="243">
        <f>SUM(F50:F65)</f>
        <v>0</v>
      </c>
      <c r="G66" s="244">
        <f>SUM(G50:G65)</f>
        <v>0</v>
      </c>
      <c r="H66" s="90"/>
      <c r="I66" s="170"/>
      <c r="J66" s="172"/>
      <c r="K66" s="170"/>
      <c r="L66" s="170"/>
      <c r="M66" s="170"/>
      <c r="P66" s="170"/>
      <c r="Q66" s="170"/>
      <c r="R66" s="170"/>
      <c r="S66" s="170"/>
      <c r="T66" s="170"/>
      <c r="U66" s="170"/>
      <c r="V66" s="170"/>
      <c r="AJ66" s="77"/>
      <c r="AK66" s="77"/>
      <c r="AL66" s="77"/>
      <c r="AM66" s="77"/>
      <c r="AN66" s="77"/>
      <c r="AO66" s="77"/>
      <c r="AP66" s="77"/>
      <c r="AQ66" s="77"/>
      <c r="AR66" s="77"/>
      <c r="AS66" s="77"/>
      <c r="AT66" s="77"/>
      <c r="AU66" s="77"/>
      <c r="AV66" s="77"/>
    </row>
    <row r="67" spans="1:48" s="87" customFormat="1" x14ac:dyDescent="0.25">
      <c r="A67" s="98" t="s">
        <v>61</v>
      </c>
      <c r="B67" s="82">
        <f>SUMIF(B50:B65,"x",C25:C40)</f>
        <v>0</v>
      </c>
      <c r="E67" s="113"/>
      <c r="G67" s="113"/>
      <c r="H67" s="90"/>
      <c r="I67" s="170"/>
      <c r="J67" s="170"/>
      <c r="K67" s="170"/>
      <c r="L67" s="170"/>
      <c r="M67" s="170"/>
      <c r="P67" s="170"/>
      <c r="Q67" s="170"/>
      <c r="R67" s="170"/>
      <c r="S67" s="170"/>
      <c r="T67" s="170"/>
      <c r="U67" s="170"/>
      <c r="V67" s="170"/>
      <c r="AJ67" s="77"/>
      <c r="AK67" s="77"/>
      <c r="AL67" s="77"/>
      <c r="AM67" s="77"/>
      <c r="AN67" s="77"/>
      <c r="AO67" s="77"/>
      <c r="AP67" s="77"/>
      <c r="AQ67" s="77"/>
      <c r="AR67" s="77"/>
      <c r="AS67" s="77"/>
      <c r="AT67" s="77"/>
      <c r="AU67" s="77"/>
      <c r="AV67" s="77"/>
    </row>
    <row r="68" spans="1:48" s="87" customFormat="1" x14ac:dyDescent="0.25">
      <c r="A68" s="77"/>
      <c r="E68" s="113"/>
      <c r="G68" s="113"/>
      <c r="H68" s="90"/>
      <c r="I68" s="170"/>
      <c r="J68" s="170"/>
      <c r="K68" s="170"/>
      <c r="L68" s="170"/>
      <c r="M68" s="170"/>
      <c r="P68" s="170"/>
      <c r="Q68" s="170"/>
      <c r="R68" s="170"/>
      <c r="S68" s="170"/>
      <c r="T68" s="170"/>
      <c r="U68" s="170"/>
      <c r="V68" s="170"/>
      <c r="AJ68" s="77"/>
      <c r="AK68" s="77"/>
      <c r="AL68" s="77"/>
      <c r="AM68" s="77"/>
      <c r="AN68" s="77"/>
      <c r="AO68" s="77"/>
      <c r="AP68" s="77"/>
      <c r="AQ68" s="77"/>
      <c r="AR68" s="77"/>
      <c r="AS68" s="77"/>
      <c r="AT68" s="77"/>
      <c r="AU68" s="77"/>
      <c r="AV68" s="77"/>
    </row>
    <row r="69" spans="1:48" s="87" customFormat="1" x14ac:dyDescent="0.25">
      <c r="A69" s="93"/>
      <c r="B69" s="111"/>
      <c r="E69" s="113"/>
      <c r="G69" s="113"/>
      <c r="H69" s="90"/>
      <c r="AJ69" s="77"/>
      <c r="AK69" s="77"/>
      <c r="AL69" s="77"/>
      <c r="AM69" s="77"/>
      <c r="AN69" s="77"/>
      <c r="AO69" s="77"/>
      <c r="AP69" s="77"/>
      <c r="AQ69" s="77"/>
      <c r="AR69" s="77"/>
      <c r="AS69" s="77"/>
      <c r="AT69" s="77"/>
      <c r="AU69" s="77"/>
      <c r="AV69" s="77"/>
    </row>
    <row r="70" spans="1:48" s="87" customFormat="1" x14ac:dyDescent="0.25">
      <c r="A70" s="96"/>
      <c r="B70" s="112"/>
      <c r="E70" s="113"/>
      <c r="G70" s="113"/>
      <c r="H70" s="90"/>
      <c r="AJ70" s="77"/>
      <c r="AK70" s="77"/>
      <c r="AL70" s="77"/>
      <c r="AM70" s="77"/>
      <c r="AN70" s="77"/>
      <c r="AO70" s="77"/>
      <c r="AP70" s="77"/>
      <c r="AQ70" s="77"/>
      <c r="AR70" s="77"/>
      <c r="AS70" s="77"/>
      <c r="AT70" s="77"/>
      <c r="AU70" s="77"/>
      <c r="AV70" s="77"/>
    </row>
    <row r="71" spans="1:48" s="87" customFormat="1" x14ac:dyDescent="0.25">
      <c r="A71" s="96"/>
      <c r="B71" s="112"/>
      <c r="E71" s="113"/>
      <c r="G71" s="113"/>
      <c r="H71" s="90"/>
      <c r="AJ71" s="77"/>
      <c r="AK71" s="77"/>
      <c r="AL71" s="77"/>
      <c r="AM71" s="77"/>
      <c r="AN71" s="77"/>
      <c r="AO71" s="77"/>
      <c r="AP71" s="77"/>
      <c r="AQ71" s="77"/>
      <c r="AR71" s="77"/>
      <c r="AS71" s="77"/>
      <c r="AT71" s="77"/>
      <c r="AU71" s="77"/>
      <c r="AV71" s="77"/>
    </row>
    <row r="72" spans="1:48" s="87" customFormat="1" x14ac:dyDescent="0.25">
      <c r="A72" s="96"/>
      <c r="B72" s="112"/>
      <c r="E72" s="113"/>
      <c r="G72" s="113"/>
      <c r="H72" s="90"/>
      <c r="AJ72" s="77"/>
      <c r="AK72" s="77"/>
      <c r="AL72" s="77"/>
      <c r="AM72" s="77"/>
      <c r="AN72" s="77"/>
      <c r="AO72" s="77"/>
      <c r="AP72" s="77"/>
      <c r="AQ72" s="77"/>
      <c r="AR72" s="77"/>
      <c r="AS72" s="77"/>
      <c r="AT72" s="77"/>
      <c r="AU72" s="77"/>
      <c r="AV72" s="77"/>
    </row>
    <row r="73" spans="1:48" s="87" customFormat="1" x14ac:dyDescent="0.25">
      <c r="A73" s="96"/>
      <c r="B73" s="112"/>
      <c r="E73" s="113"/>
      <c r="G73" s="113"/>
      <c r="H73" s="90"/>
      <c r="AJ73" s="77"/>
      <c r="AK73" s="77"/>
      <c r="AL73" s="77"/>
      <c r="AM73" s="77"/>
      <c r="AN73" s="77"/>
      <c r="AO73" s="77"/>
      <c r="AP73" s="77"/>
      <c r="AQ73" s="77"/>
      <c r="AR73" s="77"/>
      <c r="AS73" s="77"/>
      <c r="AT73" s="77"/>
      <c r="AU73" s="77"/>
      <c r="AV73" s="77"/>
    </row>
    <row r="74" spans="1:48" s="87" customFormat="1" x14ac:dyDescent="0.25">
      <c r="A74" s="97"/>
      <c r="B74" s="90"/>
      <c r="E74" s="113"/>
      <c r="G74" s="113"/>
      <c r="H74" s="90"/>
      <c r="AJ74" s="77"/>
      <c r="AK74" s="77"/>
      <c r="AL74" s="77"/>
      <c r="AM74" s="77"/>
      <c r="AN74" s="77"/>
      <c r="AO74" s="77"/>
      <c r="AP74" s="77"/>
      <c r="AQ74" s="77"/>
      <c r="AR74" s="77"/>
      <c r="AS74" s="77"/>
      <c r="AT74" s="77"/>
      <c r="AU74" s="77"/>
      <c r="AV74" s="77"/>
    </row>
    <row r="75" spans="1:48" s="87" customFormat="1" x14ac:dyDescent="0.25">
      <c r="A75" s="97"/>
      <c r="B75" s="113"/>
      <c r="E75" s="113"/>
      <c r="G75" s="113"/>
      <c r="H75" s="90"/>
      <c r="AJ75" s="77"/>
      <c r="AK75" s="77"/>
      <c r="AL75" s="77"/>
      <c r="AM75" s="77"/>
      <c r="AN75" s="77"/>
      <c r="AO75" s="77"/>
      <c r="AP75" s="77"/>
      <c r="AQ75" s="77"/>
      <c r="AR75" s="77"/>
      <c r="AS75" s="77"/>
      <c r="AT75" s="77"/>
      <c r="AU75" s="77"/>
      <c r="AV75" s="77"/>
    </row>
    <row r="76" spans="1:48" s="87" customFormat="1" x14ac:dyDescent="0.25">
      <c r="A76" s="97"/>
      <c r="B76" s="90"/>
      <c r="E76" s="113"/>
      <c r="G76" s="113"/>
      <c r="H76" s="90"/>
      <c r="AJ76" s="77"/>
      <c r="AK76" s="77"/>
      <c r="AL76" s="77"/>
      <c r="AM76" s="77"/>
      <c r="AN76" s="77"/>
      <c r="AO76" s="77"/>
      <c r="AP76" s="77"/>
      <c r="AQ76" s="77"/>
      <c r="AR76" s="77"/>
      <c r="AS76" s="77"/>
      <c r="AT76" s="77"/>
      <c r="AU76" s="77"/>
      <c r="AV76" s="77"/>
    </row>
    <row r="77" spans="1:48" s="87" customFormat="1" x14ac:dyDescent="0.25">
      <c r="A77" s="97"/>
      <c r="B77" s="90"/>
      <c r="E77" s="113"/>
      <c r="G77" s="113"/>
      <c r="H77" s="90"/>
      <c r="AJ77" s="77"/>
      <c r="AK77" s="77"/>
      <c r="AL77" s="77"/>
      <c r="AM77" s="77"/>
      <c r="AN77" s="77"/>
      <c r="AO77" s="77"/>
      <c r="AP77" s="77"/>
      <c r="AQ77" s="77"/>
      <c r="AR77" s="77"/>
      <c r="AS77" s="77"/>
      <c r="AT77" s="77"/>
      <c r="AU77" s="77"/>
      <c r="AV77" s="77"/>
    </row>
    <row r="78" spans="1:48" s="87" customFormat="1" x14ac:dyDescent="0.25">
      <c r="A78" s="97"/>
      <c r="B78" s="113"/>
      <c r="E78" s="113"/>
      <c r="G78" s="113"/>
      <c r="H78" s="90"/>
      <c r="AJ78" s="77"/>
      <c r="AK78" s="77"/>
      <c r="AL78" s="77"/>
      <c r="AM78" s="77"/>
      <c r="AN78" s="77"/>
      <c r="AO78" s="77"/>
      <c r="AP78" s="77"/>
      <c r="AQ78" s="77"/>
      <c r="AR78" s="77"/>
      <c r="AS78" s="77"/>
      <c r="AT78" s="77"/>
      <c r="AU78" s="77"/>
      <c r="AV78" s="77"/>
    </row>
  </sheetData>
  <sheetProtection sheet="1" objects="1" scenarios="1"/>
  <mergeCells count="1">
    <mergeCell ref="A1:A2"/>
  </mergeCells>
  <dataValidations count="1">
    <dataValidation type="list" allowBlank="1" showInputMessage="1" showErrorMessage="1" sqref="A6:A21" xr:uid="{00000000-0002-0000-0500-000000000000}">
      <formula1>alimentos</formula1>
    </dataValidation>
  </dataValidations>
  <pageMargins left="0.78740157499999996" right="0.78740157499999996" top="0.984251969" bottom="0.984251969" header="0.49212598499999999" footer="0.49212598499999999"/>
  <pageSetup paperSize="9"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C78"/>
  <sheetViews>
    <sheetView zoomScale="80" zoomScaleNormal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I10" sqref="I10"/>
    </sheetView>
  </sheetViews>
  <sheetFormatPr defaultRowHeight="16.5" x14ac:dyDescent="0.25"/>
  <cols>
    <col min="1" max="1" width="34.85546875" style="77" bestFit="1" customWidth="1"/>
    <col min="2" max="2" width="17" style="87" bestFit="1" customWidth="1"/>
    <col min="3" max="4" width="13.28515625" style="87" customWidth="1"/>
    <col min="5" max="5" width="13.28515625" style="113" customWidth="1"/>
    <col min="6" max="6" width="13.28515625" style="87" customWidth="1"/>
    <col min="7" max="7" width="13.28515625" style="113" customWidth="1"/>
    <col min="8" max="8" width="13.28515625" style="90" customWidth="1"/>
    <col min="9" max="21" width="13.28515625" style="87" customWidth="1"/>
    <col min="22" max="22" width="18.42578125" style="87" bestFit="1" customWidth="1"/>
    <col min="23" max="35" width="13.28515625" style="87" customWidth="1"/>
    <col min="36" max="45" width="13.28515625" style="77" customWidth="1"/>
    <col min="46" max="48" width="10.5703125" style="77" hidden="1" customWidth="1"/>
    <col min="49" max="49" width="23.140625" style="77" hidden="1" customWidth="1"/>
    <col min="50" max="50" width="11.7109375" style="77" hidden="1" customWidth="1"/>
    <col min="51" max="51" width="16" style="77" hidden="1" customWidth="1"/>
    <col min="52" max="52" width="17" style="77" hidden="1" customWidth="1"/>
    <col min="53" max="55" width="16.28515625" style="77" hidden="1" customWidth="1"/>
    <col min="56" max="16384" width="9.140625" style="77"/>
  </cols>
  <sheetData>
    <row r="1" spans="1:55" x14ac:dyDescent="0.25">
      <c r="A1" s="245" t="s">
        <v>279</v>
      </c>
      <c r="E1" s="87"/>
      <c r="G1" s="87"/>
      <c r="H1" s="87"/>
      <c r="P1" s="77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</row>
    <row r="2" spans="1:55" x14ac:dyDescent="0.25">
      <c r="A2" s="246"/>
      <c r="E2" s="87"/>
      <c r="G2" s="87"/>
      <c r="H2" s="87"/>
      <c r="P2" s="77"/>
    </row>
    <row r="3" spans="1:55" x14ac:dyDescent="0.25">
      <c r="A3" s="88"/>
      <c r="B3" s="89"/>
      <c r="C3" s="85"/>
      <c r="D3" s="75"/>
      <c r="E3" s="77"/>
      <c r="F3" s="77"/>
      <c r="G3" s="77"/>
      <c r="I3" s="77"/>
      <c r="J3" s="75"/>
      <c r="K3" s="91"/>
    </row>
    <row r="4" spans="1:55" s="98" customFormat="1" x14ac:dyDescent="0.25">
      <c r="A4" s="92" t="s">
        <v>1</v>
      </c>
      <c r="B4" s="85" t="s">
        <v>108</v>
      </c>
      <c r="C4" s="85"/>
      <c r="D4" s="85"/>
      <c r="E4" s="93" t="s">
        <v>2</v>
      </c>
      <c r="F4" s="93" t="s">
        <v>3</v>
      </c>
      <c r="G4" s="93" t="s">
        <v>3</v>
      </c>
      <c r="H4" s="93" t="s">
        <v>3</v>
      </c>
      <c r="I4" s="93" t="s">
        <v>3</v>
      </c>
      <c r="J4" s="94" t="s">
        <v>3</v>
      </c>
      <c r="K4" s="94" t="s">
        <v>109</v>
      </c>
      <c r="L4" s="94" t="s">
        <v>109</v>
      </c>
      <c r="M4" s="93" t="s">
        <v>3</v>
      </c>
      <c r="N4" s="93" t="s">
        <v>3</v>
      </c>
      <c r="O4" s="95" t="s">
        <v>4</v>
      </c>
      <c r="P4" s="93" t="s">
        <v>3</v>
      </c>
      <c r="Q4" s="93" t="s">
        <v>3</v>
      </c>
      <c r="R4" s="94" t="s">
        <v>3</v>
      </c>
      <c r="S4" s="93" t="s">
        <v>3</v>
      </c>
      <c r="T4" s="93" t="s">
        <v>3</v>
      </c>
      <c r="U4" s="94" t="s">
        <v>3</v>
      </c>
      <c r="V4" s="94" t="s">
        <v>100</v>
      </c>
      <c r="W4" s="96" t="s">
        <v>3</v>
      </c>
      <c r="X4" s="96" t="s">
        <v>3</v>
      </c>
      <c r="Y4" s="96" t="s">
        <v>3</v>
      </c>
      <c r="Z4" s="96" t="s">
        <v>3</v>
      </c>
      <c r="AA4" s="96" t="s">
        <v>3</v>
      </c>
      <c r="AB4" s="96" t="s">
        <v>3</v>
      </c>
      <c r="AC4" s="96" t="s">
        <v>3</v>
      </c>
      <c r="AD4" s="96" t="s">
        <v>3</v>
      </c>
      <c r="AE4" s="96" t="s">
        <v>3</v>
      </c>
      <c r="AF4" s="97" t="s">
        <v>34</v>
      </c>
      <c r="AG4" s="97" t="s">
        <v>34</v>
      </c>
      <c r="AH4" s="97" t="s">
        <v>34</v>
      </c>
      <c r="AI4" s="97" t="s">
        <v>34</v>
      </c>
      <c r="AJ4" s="97" t="s">
        <v>34</v>
      </c>
      <c r="AK4" s="97" t="s">
        <v>34</v>
      </c>
      <c r="AL4" s="97" t="s">
        <v>34</v>
      </c>
      <c r="AM4" s="97" t="s">
        <v>36</v>
      </c>
      <c r="AN4" s="97" t="s">
        <v>36</v>
      </c>
      <c r="AO4" s="97" t="s">
        <v>36</v>
      </c>
      <c r="AP4" s="97" t="s">
        <v>34</v>
      </c>
      <c r="AQ4" s="97" t="s">
        <v>34</v>
      </c>
      <c r="AR4" s="97" t="s">
        <v>34</v>
      </c>
      <c r="AS4" s="97" t="s">
        <v>172</v>
      </c>
      <c r="AT4" s="97" t="s">
        <v>228</v>
      </c>
      <c r="AU4" s="97" t="s">
        <v>230</v>
      </c>
      <c r="AV4" s="97" t="s">
        <v>231</v>
      </c>
      <c r="AW4" s="97" t="s">
        <v>227</v>
      </c>
      <c r="AX4" s="97" t="s">
        <v>232</v>
      </c>
      <c r="AY4" s="97" t="s">
        <v>234</v>
      </c>
      <c r="AZ4" s="97" t="s">
        <v>235</v>
      </c>
      <c r="BA4" s="97" t="s">
        <v>236</v>
      </c>
      <c r="BB4" s="173" t="s">
        <v>247</v>
      </c>
      <c r="BC4" s="173" t="s">
        <v>248</v>
      </c>
    </row>
    <row r="5" spans="1:55" s="98" customFormat="1" ht="17.25" thickBot="1" x14ac:dyDescent="0.3">
      <c r="A5" s="98" t="s">
        <v>5</v>
      </c>
      <c r="B5" s="85" t="s">
        <v>6</v>
      </c>
      <c r="C5" s="85"/>
      <c r="D5" s="85"/>
      <c r="E5" s="93" t="s">
        <v>7</v>
      </c>
      <c r="F5" s="93" t="s">
        <v>8</v>
      </c>
      <c r="G5" s="93" t="s">
        <v>9</v>
      </c>
      <c r="H5" s="93" t="s">
        <v>67</v>
      </c>
      <c r="I5" s="93" t="s">
        <v>10</v>
      </c>
      <c r="J5" s="94" t="s">
        <v>11</v>
      </c>
      <c r="K5" s="94" t="s">
        <v>110</v>
      </c>
      <c r="L5" s="94" t="s">
        <v>111</v>
      </c>
      <c r="M5" s="93" t="s">
        <v>12</v>
      </c>
      <c r="N5" s="93" t="s">
        <v>13</v>
      </c>
      <c r="O5" s="95" t="s">
        <v>14</v>
      </c>
      <c r="P5" s="93" t="s">
        <v>15</v>
      </c>
      <c r="Q5" s="93" t="s">
        <v>16</v>
      </c>
      <c r="R5" s="94" t="s">
        <v>114</v>
      </c>
      <c r="S5" s="93" t="s">
        <v>17</v>
      </c>
      <c r="T5" s="93" t="s">
        <v>18</v>
      </c>
      <c r="U5" s="93" t="s">
        <v>99</v>
      </c>
      <c r="V5" s="94" t="s">
        <v>101</v>
      </c>
      <c r="W5" s="96" t="s">
        <v>19</v>
      </c>
      <c r="X5" s="96" t="s">
        <v>20</v>
      </c>
      <c r="Y5" s="96" t="s">
        <v>21</v>
      </c>
      <c r="Z5" s="96" t="s">
        <v>22</v>
      </c>
      <c r="AA5" s="96" t="s">
        <v>23</v>
      </c>
      <c r="AB5" s="96" t="s">
        <v>24</v>
      </c>
      <c r="AC5" s="96" t="s">
        <v>25</v>
      </c>
      <c r="AD5" s="96" t="s">
        <v>26</v>
      </c>
      <c r="AE5" s="96" t="s">
        <v>27</v>
      </c>
      <c r="AF5" s="97" t="s">
        <v>37</v>
      </c>
      <c r="AG5" s="97" t="s">
        <v>38</v>
      </c>
      <c r="AH5" s="97" t="s">
        <v>41</v>
      </c>
      <c r="AI5" s="97" t="s">
        <v>43</v>
      </c>
      <c r="AJ5" s="97" t="s">
        <v>42</v>
      </c>
      <c r="AK5" s="97" t="s">
        <v>40</v>
      </c>
      <c r="AL5" s="97" t="s">
        <v>39</v>
      </c>
      <c r="AM5" s="97" t="s">
        <v>44</v>
      </c>
      <c r="AN5" s="97" t="s">
        <v>45</v>
      </c>
      <c r="AO5" s="97" t="s">
        <v>46</v>
      </c>
      <c r="AP5" s="97" t="s">
        <v>47</v>
      </c>
      <c r="AQ5" s="97" t="s">
        <v>48</v>
      </c>
      <c r="AR5" s="97" t="s">
        <v>170</v>
      </c>
      <c r="AS5" s="97" t="s">
        <v>171</v>
      </c>
      <c r="AT5" s="97" t="s">
        <v>229</v>
      </c>
      <c r="AU5" s="97" t="s">
        <v>229</v>
      </c>
      <c r="AV5" s="97" t="s">
        <v>229</v>
      </c>
      <c r="AW5" s="97" t="s">
        <v>100</v>
      </c>
      <c r="AX5" s="97" t="s">
        <v>233</v>
      </c>
      <c r="AY5" s="97" t="s">
        <v>233</v>
      </c>
      <c r="AZ5" s="97" t="s">
        <v>233</v>
      </c>
      <c r="BA5" s="97" t="s">
        <v>233</v>
      </c>
      <c r="BB5" s="173" t="s">
        <v>229</v>
      </c>
      <c r="BC5" s="173" t="s">
        <v>229</v>
      </c>
    </row>
    <row r="6" spans="1:55" ht="17.25" thickTop="1" x14ac:dyDescent="0.25">
      <c r="A6" s="101" t="s">
        <v>60</v>
      </c>
      <c r="B6" s="102">
        <f>VLOOKUP($A6,Alimentos!$A:$BA,2,FALSE)</f>
        <v>0</v>
      </c>
      <c r="C6" s="103">
        <f>VLOOKUP($A6,Alimentos!$A:$BA,4,FALSE)</f>
        <v>0</v>
      </c>
      <c r="D6" s="102"/>
      <c r="E6" s="104">
        <f>VLOOKUP($A6,Alimentos!$A:$BA,5,FALSE)</f>
        <v>0</v>
      </c>
      <c r="F6" s="104">
        <f>VLOOKUP($A6,Alimentos!$A:$BA,6,FALSE)</f>
        <v>0</v>
      </c>
      <c r="G6" s="104">
        <f>VLOOKUP($A6,Alimentos!$A:$BA,7,FALSE)</f>
        <v>0</v>
      </c>
      <c r="H6" s="104">
        <f>VLOOKUP($A6,Alimentos!$A:$BA,8,FALSE)</f>
        <v>0</v>
      </c>
      <c r="I6" s="104">
        <f>VLOOKUP($A6,Alimentos!$A:$BA,9,FALSE)</f>
        <v>0</v>
      </c>
      <c r="J6" s="104">
        <f>VLOOKUP($A6,Alimentos!$A:$BA,10,FALSE)</f>
        <v>0</v>
      </c>
      <c r="K6" s="104">
        <f>VLOOKUP($A6,Alimentos!$A:$BA,11,FALSE)</f>
        <v>0</v>
      </c>
      <c r="L6" s="104">
        <f>VLOOKUP($A6,Alimentos!$A:$BA,12,FALSE)</f>
        <v>0</v>
      </c>
      <c r="M6" s="104">
        <f>VLOOKUP($A6,Alimentos!$A:$BA,13,FALSE)</f>
        <v>0</v>
      </c>
      <c r="N6" s="104">
        <f>VLOOKUP($A6,Alimentos!$A:$BA,14,FALSE)</f>
        <v>0</v>
      </c>
      <c r="O6" s="105">
        <f>VLOOKUP($A6,Alimentos!$A:$BA,15,FALSE)</f>
        <v>0</v>
      </c>
      <c r="P6" s="104">
        <f>VLOOKUP($A6,Alimentos!$A:$BA,16,FALSE)</f>
        <v>0</v>
      </c>
      <c r="Q6" s="104">
        <f>VLOOKUP($A6,Alimentos!$A:$BA,17,FALSE)</f>
        <v>0</v>
      </c>
      <c r="R6" s="104">
        <f>VLOOKUP($A6,Alimentos!$A:$BA,18,FALSE)</f>
        <v>0</v>
      </c>
      <c r="S6" s="104">
        <f>VLOOKUP($A6,Alimentos!$A:$BA,19,FALSE)</f>
        <v>0</v>
      </c>
      <c r="T6" s="104">
        <f>VLOOKUP($A6,Alimentos!$A:$BA,20,FALSE)</f>
        <v>0</v>
      </c>
      <c r="U6" s="104">
        <f>VLOOKUP($A6,Alimentos!$A:$BA,21,FALSE)</f>
        <v>0</v>
      </c>
      <c r="V6" s="104">
        <f>VLOOKUP($A6,Alimentos!$A:$BA,22,FALSE)</f>
        <v>0</v>
      </c>
      <c r="W6" s="106">
        <f>VLOOKUP($A6,Alimentos!$A:$BA,23,FALSE)</f>
        <v>0</v>
      </c>
      <c r="X6" s="106">
        <f>VLOOKUP($A6,Alimentos!$A:$BA,24,FALSE)</f>
        <v>0</v>
      </c>
      <c r="Y6" s="106">
        <f>VLOOKUP($A6,Alimentos!$A:$BA,25,FALSE)</f>
        <v>0</v>
      </c>
      <c r="Z6" s="106">
        <f>VLOOKUP($A6,Alimentos!$A:$BA,26,FALSE)</f>
        <v>0</v>
      </c>
      <c r="AA6" s="106">
        <f>VLOOKUP($A6,Alimentos!$A:$BA,27,FALSE)</f>
        <v>0</v>
      </c>
      <c r="AB6" s="106">
        <f>VLOOKUP($A6,Alimentos!$A:$BA,28,FALSE)</f>
        <v>0</v>
      </c>
      <c r="AC6" s="106">
        <f>VLOOKUP($A6,Alimentos!$A:$BA,29,FALSE)</f>
        <v>0</v>
      </c>
      <c r="AD6" s="106">
        <f>VLOOKUP($A6,Alimentos!$A:$BA,30,FALSE)</f>
        <v>0</v>
      </c>
      <c r="AE6" s="106">
        <f>VLOOKUP($A6,Alimentos!$A:$BA,31,FALSE)</f>
        <v>0</v>
      </c>
      <c r="AF6" s="107">
        <f>VLOOKUP($A6,Alimentos!$A:$BA,32,FALSE)</f>
        <v>0</v>
      </c>
      <c r="AG6" s="107">
        <f>VLOOKUP($A6,Alimentos!$A:$BA,33,FALSE)</f>
        <v>0</v>
      </c>
      <c r="AH6" s="107">
        <f>VLOOKUP($A6,Alimentos!$A:$BA,34,FALSE)</f>
        <v>0</v>
      </c>
      <c r="AI6" s="107">
        <f>VLOOKUP($A6,Alimentos!$A:$BA,35,FALSE)</f>
        <v>0</v>
      </c>
      <c r="AJ6" s="107">
        <f>VLOOKUP($A6,Alimentos!$A:$BA,36,FALSE)</f>
        <v>0</v>
      </c>
      <c r="AK6" s="107">
        <f>VLOOKUP($A6,Alimentos!$A:$BA,37,FALSE)</f>
        <v>0</v>
      </c>
      <c r="AL6" s="107">
        <f>VLOOKUP($A6,Alimentos!$A:$BA,38,FALSE)</f>
        <v>0</v>
      </c>
      <c r="AM6" s="107">
        <f>VLOOKUP($A6,Alimentos!$A:$BA,39,FALSE)</f>
        <v>0</v>
      </c>
      <c r="AN6" s="107">
        <f>VLOOKUP($A6,Alimentos!$A:$BA,40,FALSE)</f>
        <v>0</v>
      </c>
      <c r="AO6" s="107">
        <f>VLOOKUP($A6,Alimentos!$A:$BA,41,FALSE)</f>
        <v>0</v>
      </c>
      <c r="AP6" s="107">
        <f>VLOOKUP($A6,Alimentos!$A:$BA,42,FALSE)</f>
        <v>0</v>
      </c>
      <c r="AQ6" s="107">
        <f>VLOOKUP($A6,Alimentos!$A:$BA,43,FALSE)</f>
        <v>0</v>
      </c>
      <c r="AR6" s="107">
        <f>VLOOKUP($A6,Alimentos!$A:$BA,44,FALSE)</f>
        <v>0</v>
      </c>
      <c r="AS6" s="107">
        <f>VLOOKUP($A6,Alimentos!$A:$BA,45,FALSE)</f>
        <v>0</v>
      </c>
      <c r="AT6" s="217">
        <f>VLOOKUP($A6,Alimentos!$A:$BA,46,FALSE)</f>
        <v>0</v>
      </c>
      <c r="AU6" s="217">
        <f>VLOOKUP($A6,Alimentos!$A:$BA,47,FALSE)</f>
        <v>0</v>
      </c>
      <c r="AV6" s="217">
        <f>VLOOKUP($A6,Alimentos!$A:$BA,48,FALSE)</f>
        <v>0</v>
      </c>
      <c r="AW6" s="217">
        <f>VLOOKUP($A6,Alimentos!$A:$BA,49,FALSE)</f>
        <v>0</v>
      </c>
      <c r="AX6" s="217">
        <f>VLOOKUP($A6,Alimentos!$A:$BA,50,FALSE)</f>
        <v>0</v>
      </c>
      <c r="AY6" s="107">
        <f>VLOOKUP($A6,Alimentos!$A:$BA,51,FALSE)</f>
        <v>0</v>
      </c>
      <c r="AZ6" s="107">
        <f>VLOOKUP($A6,Alimentos!$A:$BA,52,FALSE)</f>
        <v>0</v>
      </c>
      <c r="BA6" s="107">
        <f>VLOOKUP($A6,Alimentos!$A:$BA,53,FALSE)</f>
        <v>0</v>
      </c>
      <c r="BB6" s="107">
        <f>VLOOKUP($A6,Alimentos!$A:$BC,54,FALSE)</f>
        <v>0</v>
      </c>
      <c r="BC6" s="107">
        <f>VLOOKUP($A6,Alimentos!$A:$BC,55,FALSE)</f>
        <v>0</v>
      </c>
    </row>
    <row r="7" spans="1:55" x14ac:dyDescent="0.25">
      <c r="A7" s="108" t="s">
        <v>60</v>
      </c>
      <c r="B7" s="109">
        <f>VLOOKUP($A7,Alimentos!$A:$BA,2,FALSE)</f>
        <v>0</v>
      </c>
      <c r="C7" s="110">
        <f>VLOOKUP($A7,Alimentos!$A:$BA,4,FALSE)</f>
        <v>0</v>
      </c>
      <c r="D7" s="109"/>
      <c r="E7" s="111">
        <f>VLOOKUP($A7,Alimentos!$A:$BA,5,FALSE)</f>
        <v>0</v>
      </c>
      <c r="F7" s="111">
        <f>VLOOKUP($A7,Alimentos!$A:$BA,6,FALSE)</f>
        <v>0</v>
      </c>
      <c r="G7" s="111">
        <f>VLOOKUP($A7,Alimentos!$A:$BA,7,FALSE)</f>
        <v>0</v>
      </c>
      <c r="H7" s="111">
        <f>VLOOKUP($A7,Alimentos!$A:$BA,8,FALSE)</f>
        <v>0</v>
      </c>
      <c r="I7" s="111">
        <f>VLOOKUP($A7,Alimentos!$A:$BA,9,FALSE)</f>
        <v>0</v>
      </c>
      <c r="J7" s="111">
        <f>VLOOKUP($A7,Alimentos!$A:$BA,10,FALSE)</f>
        <v>0</v>
      </c>
      <c r="K7" s="111">
        <f>VLOOKUP($A7,Alimentos!$A:$BA,11,FALSE)</f>
        <v>0</v>
      </c>
      <c r="L7" s="111">
        <f>VLOOKUP($A7,Alimentos!$A:$BA,12,FALSE)</f>
        <v>0</v>
      </c>
      <c r="M7" s="111">
        <f>VLOOKUP($A7,Alimentos!$A:$BA,13,FALSE)</f>
        <v>0</v>
      </c>
      <c r="N7" s="111">
        <f>VLOOKUP($A7,Alimentos!$A:$BA,14,FALSE)</f>
        <v>0</v>
      </c>
      <c r="O7" s="90">
        <f>VLOOKUP($A7,Alimentos!$A:$BA,15,FALSE)</f>
        <v>0</v>
      </c>
      <c r="P7" s="111">
        <f>VLOOKUP($A7,Alimentos!$A:$BA,16,FALSE)</f>
        <v>0</v>
      </c>
      <c r="Q7" s="111">
        <f>VLOOKUP($A7,Alimentos!$A:$BA,17,FALSE)</f>
        <v>0</v>
      </c>
      <c r="R7" s="111">
        <f>VLOOKUP($A7,Alimentos!$A:$BA,18,FALSE)</f>
        <v>0</v>
      </c>
      <c r="S7" s="111">
        <f>VLOOKUP($A7,Alimentos!$A:$BA,19,FALSE)</f>
        <v>0</v>
      </c>
      <c r="T7" s="111">
        <f>VLOOKUP($A7,Alimentos!$A:$BA,20,FALSE)</f>
        <v>0</v>
      </c>
      <c r="U7" s="111">
        <f>VLOOKUP($A7,Alimentos!$A:$BA,21,FALSE)</f>
        <v>0</v>
      </c>
      <c r="V7" s="111">
        <f>VLOOKUP($A7,Alimentos!$A:$BA,22,FALSE)</f>
        <v>0</v>
      </c>
      <c r="W7" s="112">
        <f>VLOOKUP($A7,Alimentos!$A:$BA,23,FALSE)</f>
        <v>0</v>
      </c>
      <c r="X7" s="112">
        <f>VLOOKUP($A7,Alimentos!$A:$BA,24,FALSE)</f>
        <v>0</v>
      </c>
      <c r="Y7" s="112">
        <f>VLOOKUP($A7,Alimentos!$A:$BA,25,FALSE)</f>
        <v>0</v>
      </c>
      <c r="Z7" s="112">
        <f>VLOOKUP($A7,Alimentos!$A:$BA,26,FALSE)</f>
        <v>0</v>
      </c>
      <c r="AA7" s="112">
        <f>VLOOKUP($A7,Alimentos!$A:$BA,27,FALSE)</f>
        <v>0</v>
      </c>
      <c r="AB7" s="112">
        <f>VLOOKUP($A7,Alimentos!$A:$BA,28,FALSE)</f>
        <v>0</v>
      </c>
      <c r="AC7" s="112">
        <f>VLOOKUP($A7,Alimentos!$A:$BA,29,FALSE)</f>
        <v>0</v>
      </c>
      <c r="AD7" s="112">
        <f>VLOOKUP($A7,Alimentos!$A:$BA,30,FALSE)</f>
        <v>0</v>
      </c>
      <c r="AE7" s="112">
        <f>VLOOKUP($A7,Alimentos!$A:$BA,31,FALSE)</f>
        <v>0</v>
      </c>
      <c r="AF7" s="113">
        <f>VLOOKUP($A7,Alimentos!$A:$BA,32,FALSE)</f>
        <v>0</v>
      </c>
      <c r="AG7" s="113">
        <f>VLOOKUP($A7,Alimentos!$A:$BA,33,FALSE)</f>
        <v>0</v>
      </c>
      <c r="AH7" s="113">
        <f>VLOOKUP($A7,Alimentos!$A:$BA,34,FALSE)</f>
        <v>0</v>
      </c>
      <c r="AI7" s="113">
        <f>VLOOKUP($A7,Alimentos!$A:$BA,35,FALSE)</f>
        <v>0</v>
      </c>
      <c r="AJ7" s="113">
        <f>VLOOKUP($A7,Alimentos!$A:$BA,36,FALSE)</f>
        <v>0</v>
      </c>
      <c r="AK7" s="113">
        <f>VLOOKUP($A7,Alimentos!$A:$BA,37,FALSE)</f>
        <v>0</v>
      </c>
      <c r="AL7" s="113">
        <f>VLOOKUP($A7,Alimentos!$A:$BA,38,FALSE)</f>
        <v>0</v>
      </c>
      <c r="AM7" s="113">
        <f>VLOOKUP($A7,Alimentos!$A:$BA,39,FALSE)</f>
        <v>0</v>
      </c>
      <c r="AN7" s="113">
        <f>VLOOKUP($A7,Alimentos!$A:$BA,40,FALSE)</f>
        <v>0</v>
      </c>
      <c r="AO7" s="113">
        <f>VLOOKUP($A7,Alimentos!$A:$BA,41,FALSE)</f>
        <v>0</v>
      </c>
      <c r="AP7" s="113">
        <f>VLOOKUP($A7,Alimentos!$A:$BA,42,FALSE)</f>
        <v>0</v>
      </c>
      <c r="AQ7" s="113">
        <f>VLOOKUP($A7,Alimentos!$A:$BA,43,FALSE)</f>
        <v>0</v>
      </c>
      <c r="AR7" s="113">
        <f>VLOOKUP($A7,Alimentos!$A:$BA,44,FALSE)</f>
        <v>0</v>
      </c>
      <c r="AS7" s="113">
        <f>VLOOKUP($A7,Alimentos!$A:$BA,45,FALSE)</f>
        <v>0</v>
      </c>
      <c r="AT7" s="218">
        <f>VLOOKUP($A7,Alimentos!$A:$BA,46,FALSE)</f>
        <v>0</v>
      </c>
      <c r="AU7" s="218">
        <f>VLOOKUP($A7,Alimentos!$A:$BA,47,FALSE)</f>
        <v>0</v>
      </c>
      <c r="AV7" s="218">
        <f>VLOOKUP($A7,Alimentos!$A:$BA,48,FALSE)</f>
        <v>0</v>
      </c>
      <c r="AW7" s="218">
        <f>VLOOKUP($A7,Alimentos!$A:$BA,49,FALSE)</f>
        <v>0</v>
      </c>
      <c r="AX7" s="218">
        <f>VLOOKUP($A7,Alimentos!$A:$BA,50,FALSE)</f>
        <v>0</v>
      </c>
      <c r="AY7" s="113">
        <f>VLOOKUP($A7,Alimentos!$A:$BA,51,FALSE)</f>
        <v>0</v>
      </c>
      <c r="AZ7" s="113">
        <f>VLOOKUP($A7,Alimentos!$A:$BA,52,FALSE)</f>
        <v>0</v>
      </c>
      <c r="BA7" s="113">
        <f>VLOOKUP($A7,Alimentos!$A:$BA,53,FALSE)</f>
        <v>0</v>
      </c>
      <c r="BB7" s="113">
        <f>VLOOKUP($A7,Alimentos!$A:$BC,54,FALSE)</f>
        <v>0</v>
      </c>
      <c r="BC7" s="113">
        <f>VLOOKUP($A7,Alimentos!$A:$BC,55,FALSE)</f>
        <v>0</v>
      </c>
    </row>
    <row r="8" spans="1:55" x14ac:dyDescent="0.25">
      <c r="A8" s="108" t="s">
        <v>60</v>
      </c>
      <c r="B8" s="109">
        <f>VLOOKUP($A8,Alimentos!$A:$BA,2,FALSE)</f>
        <v>0</v>
      </c>
      <c r="C8" s="114">
        <f>VLOOKUP($A8,Alimentos!$A:$BA,4,FALSE)</f>
        <v>0</v>
      </c>
      <c r="E8" s="111">
        <f>VLOOKUP($A8,Alimentos!$A:$BA,5,FALSE)</f>
        <v>0</v>
      </c>
      <c r="F8" s="111">
        <f>VLOOKUP($A8,Alimentos!$A:$BA,6,FALSE)</f>
        <v>0</v>
      </c>
      <c r="G8" s="111">
        <f>VLOOKUP($A8,Alimentos!$A:$BA,7,FALSE)</f>
        <v>0</v>
      </c>
      <c r="H8" s="111">
        <f>VLOOKUP($A8,Alimentos!$A:$BA,8,FALSE)</f>
        <v>0</v>
      </c>
      <c r="I8" s="111">
        <f>VLOOKUP($A8,Alimentos!$A:$BA,9,FALSE)</f>
        <v>0</v>
      </c>
      <c r="J8" s="111">
        <f>VLOOKUP($A8,Alimentos!$A:$BA,10,FALSE)</f>
        <v>0</v>
      </c>
      <c r="K8" s="111">
        <f>VLOOKUP($A8,Alimentos!$A:$BA,11,FALSE)</f>
        <v>0</v>
      </c>
      <c r="L8" s="111">
        <f>VLOOKUP($A8,Alimentos!$A:$BA,12,FALSE)</f>
        <v>0</v>
      </c>
      <c r="M8" s="111">
        <f>VLOOKUP($A8,Alimentos!$A:$BA,13,FALSE)</f>
        <v>0</v>
      </c>
      <c r="N8" s="111">
        <f>VLOOKUP($A8,Alimentos!$A:$BA,14,FALSE)</f>
        <v>0</v>
      </c>
      <c r="O8" s="90">
        <f>VLOOKUP($A8,Alimentos!$A:$BA,15,FALSE)</f>
        <v>0</v>
      </c>
      <c r="P8" s="111">
        <f>VLOOKUP($A8,Alimentos!$A:$BA,16,FALSE)</f>
        <v>0</v>
      </c>
      <c r="Q8" s="111">
        <f>VLOOKUP($A8,Alimentos!$A:$BA,17,FALSE)</f>
        <v>0</v>
      </c>
      <c r="R8" s="111">
        <f>VLOOKUP($A8,Alimentos!$A:$BA,18,FALSE)</f>
        <v>0</v>
      </c>
      <c r="S8" s="111">
        <f>VLOOKUP($A8,Alimentos!$A:$BA,19,FALSE)</f>
        <v>0</v>
      </c>
      <c r="T8" s="111">
        <f>VLOOKUP($A8,Alimentos!$A:$BA,20,FALSE)</f>
        <v>0</v>
      </c>
      <c r="U8" s="111">
        <f>VLOOKUP($A8,Alimentos!$A:$BA,21,FALSE)</f>
        <v>0</v>
      </c>
      <c r="V8" s="111">
        <f>VLOOKUP($A8,Alimentos!$A:$BA,22,FALSE)</f>
        <v>0</v>
      </c>
      <c r="W8" s="112">
        <f>VLOOKUP($A8,Alimentos!$A:$BA,23,FALSE)</f>
        <v>0</v>
      </c>
      <c r="X8" s="112">
        <f>VLOOKUP($A8,Alimentos!$A:$BA,24,FALSE)</f>
        <v>0</v>
      </c>
      <c r="Y8" s="112">
        <f>VLOOKUP($A8,Alimentos!$A:$BA,25,FALSE)</f>
        <v>0</v>
      </c>
      <c r="Z8" s="112">
        <f>VLOOKUP($A8,Alimentos!$A:$BA,26,FALSE)</f>
        <v>0</v>
      </c>
      <c r="AA8" s="112">
        <f>VLOOKUP($A8,Alimentos!$A:$BA,27,FALSE)</f>
        <v>0</v>
      </c>
      <c r="AB8" s="112">
        <f>VLOOKUP($A8,Alimentos!$A:$BA,28,FALSE)</f>
        <v>0</v>
      </c>
      <c r="AC8" s="112">
        <f>VLOOKUP($A8,Alimentos!$A:$BA,29,FALSE)</f>
        <v>0</v>
      </c>
      <c r="AD8" s="112">
        <f>VLOOKUP($A8,Alimentos!$A:$BA,30,FALSE)</f>
        <v>0</v>
      </c>
      <c r="AE8" s="112">
        <f>VLOOKUP($A8,Alimentos!$A:$BA,31,FALSE)</f>
        <v>0</v>
      </c>
      <c r="AF8" s="113">
        <f>VLOOKUP($A8,Alimentos!$A:$BA,32,FALSE)</f>
        <v>0</v>
      </c>
      <c r="AG8" s="113">
        <f>VLOOKUP($A8,Alimentos!$A:$BA,33,FALSE)</f>
        <v>0</v>
      </c>
      <c r="AH8" s="113">
        <f>VLOOKUP($A8,Alimentos!$A:$BA,34,FALSE)</f>
        <v>0</v>
      </c>
      <c r="AI8" s="113">
        <f>VLOOKUP($A8,Alimentos!$A:$BA,35,FALSE)</f>
        <v>0</v>
      </c>
      <c r="AJ8" s="113">
        <f>VLOOKUP($A8,Alimentos!$A:$BA,36,FALSE)</f>
        <v>0</v>
      </c>
      <c r="AK8" s="113">
        <f>VLOOKUP($A8,Alimentos!$A:$BA,37,FALSE)</f>
        <v>0</v>
      </c>
      <c r="AL8" s="113">
        <f>VLOOKUP($A8,Alimentos!$A:$BA,38,FALSE)</f>
        <v>0</v>
      </c>
      <c r="AM8" s="113">
        <f>VLOOKUP($A8,Alimentos!$A:$BA,39,FALSE)</f>
        <v>0</v>
      </c>
      <c r="AN8" s="113">
        <f>VLOOKUP($A8,Alimentos!$A:$BA,40,FALSE)</f>
        <v>0</v>
      </c>
      <c r="AO8" s="113">
        <f>VLOOKUP($A8,Alimentos!$A:$BA,41,FALSE)</f>
        <v>0</v>
      </c>
      <c r="AP8" s="113">
        <f>VLOOKUP($A8,Alimentos!$A:$BA,42,FALSE)</f>
        <v>0</v>
      </c>
      <c r="AQ8" s="113">
        <f>VLOOKUP($A8,Alimentos!$A:$BA,43,FALSE)</f>
        <v>0</v>
      </c>
      <c r="AR8" s="113">
        <f>VLOOKUP($A8,Alimentos!$A:$BA,44,FALSE)</f>
        <v>0</v>
      </c>
      <c r="AS8" s="113">
        <f>VLOOKUP($A8,Alimentos!$A:$BA,45,FALSE)</f>
        <v>0</v>
      </c>
      <c r="AT8" s="218">
        <f>VLOOKUP($A8,Alimentos!$A:$BA,46,FALSE)</f>
        <v>0</v>
      </c>
      <c r="AU8" s="218">
        <f>VLOOKUP($A8,Alimentos!$A:$BA,47,FALSE)</f>
        <v>0</v>
      </c>
      <c r="AV8" s="218">
        <f>VLOOKUP($A8,Alimentos!$A:$BA,48,FALSE)</f>
        <v>0</v>
      </c>
      <c r="AW8" s="218">
        <f>VLOOKUP($A8,Alimentos!$A:$BA,49,FALSE)</f>
        <v>0</v>
      </c>
      <c r="AX8" s="218">
        <f>VLOOKUP($A8,Alimentos!$A:$BA,50,FALSE)</f>
        <v>0</v>
      </c>
      <c r="AY8" s="113">
        <f>VLOOKUP($A8,Alimentos!$A:$BA,51,FALSE)</f>
        <v>0</v>
      </c>
      <c r="AZ8" s="113">
        <f>VLOOKUP($A8,Alimentos!$A:$BA,52,FALSE)</f>
        <v>0</v>
      </c>
      <c r="BA8" s="113">
        <f>VLOOKUP($A8,Alimentos!$A:$BA,53,FALSE)</f>
        <v>0</v>
      </c>
      <c r="BB8" s="113">
        <f>VLOOKUP($A8,Alimentos!$A:$BC,54,FALSE)</f>
        <v>0</v>
      </c>
      <c r="BC8" s="113">
        <f>VLOOKUP($A8,Alimentos!$A:$BC,55,FALSE)</f>
        <v>0</v>
      </c>
    </row>
    <row r="9" spans="1:55" x14ac:dyDescent="0.25">
      <c r="A9" s="108" t="s">
        <v>60</v>
      </c>
      <c r="B9" s="109">
        <f>VLOOKUP($A9,Alimentos!$A:$BA,2,FALSE)</f>
        <v>0</v>
      </c>
      <c r="C9" s="114">
        <f>VLOOKUP($A9,Alimentos!$A:$BA,4,FALSE)</f>
        <v>0</v>
      </c>
      <c r="E9" s="111">
        <f>VLOOKUP($A9,Alimentos!$A:$BA,5,FALSE)</f>
        <v>0</v>
      </c>
      <c r="F9" s="111">
        <f>VLOOKUP($A9,Alimentos!$A:$BA,6,FALSE)</f>
        <v>0</v>
      </c>
      <c r="G9" s="111">
        <f>VLOOKUP($A9,Alimentos!$A:$BA,7,FALSE)</f>
        <v>0</v>
      </c>
      <c r="H9" s="111">
        <f>VLOOKUP($A9,Alimentos!$A:$BA,8,FALSE)</f>
        <v>0</v>
      </c>
      <c r="I9" s="111">
        <f>VLOOKUP($A9,Alimentos!$A:$BA,9,FALSE)</f>
        <v>0</v>
      </c>
      <c r="J9" s="111">
        <f>VLOOKUP($A9,Alimentos!$A:$BA,10,FALSE)</f>
        <v>0</v>
      </c>
      <c r="K9" s="111">
        <f>VLOOKUP($A9,Alimentos!$A:$BA,11,FALSE)</f>
        <v>0</v>
      </c>
      <c r="L9" s="111">
        <f>VLOOKUP($A9,Alimentos!$A:$BA,12,FALSE)</f>
        <v>0</v>
      </c>
      <c r="M9" s="111">
        <f>VLOOKUP($A9,Alimentos!$A:$BA,13,FALSE)</f>
        <v>0</v>
      </c>
      <c r="N9" s="111">
        <f>VLOOKUP($A9,Alimentos!$A:$BA,14,FALSE)</f>
        <v>0</v>
      </c>
      <c r="O9" s="90">
        <f>VLOOKUP($A9,Alimentos!$A:$BA,15,FALSE)</f>
        <v>0</v>
      </c>
      <c r="P9" s="111">
        <f>VLOOKUP($A9,Alimentos!$A:$BA,16,FALSE)</f>
        <v>0</v>
      </c>
      <c r="Q9" s="111">
        <f>VLOOKUP($A9,Alimentos!$A:$BA,17,FALSE)</f>
        <v>0</v>
      </c>
      <c r="R9" s="111">
        <f>VLOOKUP($A9,Alimentos!$A:$BA,18,FALSE)</f>
        <v>0</v>
      </c>
      <c r="S9" s="111">
        <f>VLOOKUP($A9,Alimentos!$A:$BA,19,FALSE)</f>
        <v>0</v>
      </c>
      <c r="T9" s="111">
        <f>VLOOKUP($A9,Alimentos!$A:$BA,20,FALSE)</f>
        <v>0</v>
      </c>
      <c r="U9" s="111">
        <f>VLOOKUP($A9,Alimentos!$A:$BA,21,FALSE)</f>
        <v>0</v>
      </c>
      <c r="V9" s="111">
        <f>VLOOKUP($A9,Alimentos!$A:$BA,22,FALSE)</f>
        <v>0</v>
      </c>
      <c r="W9" s="112">
        <f>VLOOKUP($A9,Alimentos!$A:$BA,23,FALSE)</f>
        <v>0</v>
      </c>
      <c r="X9" s="112">
        <f>VLOOKUP($A9,Alimentos!$A:$BA,24,FALSE)</f>
        <v>0</v>
      </c>
      <c r="Y9" s="112">
        <f>VLOOKUP($A9,Alimentos!$A:$BA,25,FALSE)</f>
        <v>0</v>
      </c>
      <c r="Z9" s="112">
        <f>VLOOKUP($A9,Alimentos!$A:$BA,26,FALSE)</f>
        <v>0</v>
      </c>
      <c r="AA9" s="112">
        <f>VLOOKUP($A9,Alimentos!$A:$BA,27,FALSE)</f>
        <v>0</v>
      </c>
      <c r="AB9" s="112">
        <f>VLOOKUP($A9,Alimentos!$A:$BA,28,FALSE)</f>
        <v>0</v>
      </c>
      <c r="AC9" s="112">
        <f>VLOOKUP($A9,Alimentos!$A:$BA,29,FALSE)</f>
        <v>0</v>
      </c>
      <c r="AD9" s="112">
        <f>VLOOKUP($A9,Alimentos!$A:$BA,30,FALSE)</f>
        <v>0</v>
      </c>
      <c r="AE9" s="112">
        <f>VLOOKUP($A9,Alimentos!$A:$BA,31,FALSE)</f>
        <v>0</v>
      </c>
      <c r="AF9" s="113">
        <f>VLOOKUP($A9,Alimentos!$A:$BA,32,FALSE)</f>
        <v>0</v>
      </c>
      <c r="AG9" s="113">
        <f>VLOOKUP($A9,Alimentos!$A:$BA,33,FALSE)</f>
        <v>0</v>
      </c>
      <c r="AH9" s="113">
        <f>VLOOKUP($A9,Alimentos!$A:$BA,34,FALSE)</f>
        <v>0</v>
      </c>
      <c r="AI9" s="113">
        <f>VLOOKUP($A9,Alimentos!$A:$BA,35,FALSE)</f>
        <v>0</v>
      </c>
      <c r="AJ9" s="113">
        <f>VLOOKUP($A9,Alimentos!$A:$BA,36,FALSE)</f>
        <v>0</v>
      </c>
      <c r="AK9" s="113">
        <f>VLOOKUP($A9,Alimentos!$A:$BA,37,FALSE)</f>
        <v>0</v>
      </c>
      <c r="AL9" s="113">
        <f>VLOOKUP($A9,Alimentos!$A:$BA,38,FALSE)</f>
        <v>0</v>
      </c>
      <c r="AM9" s="113">
        <f>VLOOKUP($A9,Alimentos!$A:$BA,39,FALSE)</f>
        <v>0</v>
      </c>
      <c r="AN9" s="113">
        <f>VLOOKUP($A9,Alimentos!$A:$BA,40,FALSE)</f>
        <v>0</v>
      </c>
      <c r="AO9" s="113">
        <f>VLOOKUP($A9,Alimentos!$A:$BA,41,FALSE)</f>
        <v>0</v>
      </c>
      <c r="AP9" s="113">
        <f>VLOOKUP($A9,Alimentos!$A:$BA,42,FALSE)</f>
        <v>0</v>
      </c>
      <c r="AQ9" s="113">
        <f>VLOOKUP($A9,Alimentos!$A:$BA,43,FALSE)</f>
        <v>0</v>
      </c>
      <c r="AR9" s="113">
        <f>VLOOKUP($A9,Alimentos!$A:$BA,44,FALSE)</f>
        <v>0</v>
      </c>
      <c r="AS9" s="113">
        <f>VLOOKUP($A9,Alimentos!$A:$BA,45,FALSE)</f>
        <v>0</v>
      </c>
      <c r="AT9" s="218">
        <f>VLOOKUP($A9,Alimentos!$A:$BA,46,FALSE)</f>
        <v>0</v>
      </c>
      <c r="AU9" s="218">
        <f>VLOOKUP($A9,Alimentos!$A:$BA,47,FALSE)</f>
        <v>0</v>
      </c>
      <c r="AV9" s="218">
        <f>VLOOKUP($A9,Alimentos!$A:$BA,48,FALSE)</f>
        <v>0</v>
      </c>
      <c r="AW9" s="218">
        <f>VLOOKUP($A9,Alimentos!$A:$BA,49,FALSE)</f>
        <v>0</v>
      </c>
      <c r="AX9" s="218">
        <f>VLOOKUP($A9,Alimentos!$A:$BA,50,FALSE)</f>
        <v>0</v>
      </c>
      <c r="AY9" s="113">
        <f>VLOOKUP($A9,Alimentos!$A:$BA,51,FALSE)</f>
        <v>0</v>
      </c>
      <c r="AZ9" s="113">
        <f>VLOOKUP($A9,Alimentos!$A:$BA,52,FALSE)</f>
        <v>0</v>
      </c>
      <c r="BA9" s="113">
        <f>VLOOKUP($A9,Alimentos!$A:$BA,53,FALSE)</f>
        <v>0</v>
      </c>
      <c r="BB9" s="113">
        <f>VLOOKUP($A9,Alimentos!$A:$BC,54,FALSE)</f>
        <v>0</v>
      </c>
      <c r="BC9" s="113">
        <f>VLOOKUP($A9,Alimentos!$A:$BC,55,FALSE)</f>
        <v>0</v>
      </c>
    </row>
    <row r="10" spans="1:55" x14ac:dyDescent="0.25">
      <c r="A10" s="108" t="s">
        <v>60</v>
      </c>
      <c r="B10" s="109">
        <f>VLOOKUP($A10,Alimentos!$A:$BA,2,FALSE)</f>
        <v>0</v>
      </c>
      <c r="C10" s="114">
        <f>VLOOKUP($A10,Alimentos!$A:$BA,4,FALSE)</f>
        <v>0</v>
      </c>
      <c r="E10" s="111">
        <f>VLOOKUP($A10,Alimentos!$A:$BA,5,FALSE)</f>
        <v>0</v>
      </c>
      <c r="F10" s="111">
        <f>VLOOKUP($A10,Alimentos!$A:$BA,6,FALSE)</f>
        <v>0</v>
      </c>
      <c r="G10" s="111">
        <f>VLOOKUP($A10,Alimentos!$A:$BA,7,FALSE)</f>
        <v>0</v>
      </c>
      <c r="H10" s="111">
        <f>VLOOKUP($A10,Alimentos!$A:$BA,8,FALSE)</f>
        <v>0</v>
      </c>
      <c r="I10" s="111">
        <f>VLOOKUP($A10,Alimentos!$A:$BA,9,FALSE)</f>
        <v>0</v>
      </c>
      <c r="J10" s="111">
        <f>VLOOKUP($A10,Alimentos!$A:$BA,10,FALSE)</f>
        <v>0</v>
      </c>
      <c r="K10" s="111">
        <f>VLOOKUP($A10,Alimentos!$A:$BA,11,FALSE)</f>
        <v>0</v>
      </c>
      <c r="L10" s="111">
        <f>VLOOKUP($A10,Alimentos!$A:$BA,12,FALSE)</f>
        <v>0</v>
      </c>
      <c r="M10" s="111">
        <f>VLOOKUP($A10,Alimentos!$A:$BA,13,FALSE)</f>
        <v>0</v>
      </c>
      <c r="N10" s="111">
        <f>VLOOKUP($A10,Alimentos!$A:$BA,14,FALSE)</f>
        <v>0</v>
      </c>
      <c r="O10" s="90">
        <f>VLOOKUP($A10,Alimentos!$A:$BA,15,FALSE)</f>
        <v>0</v>
      </c>
      <c r="P10" s="111">
        <f>VLOOKUP($A10,Alimentos!$A:$BA,16,FALSE)</f>
        <v>0</v>
      </c>
      <c r="Q10" s="111">
        <f>VLOOKUP($A10,Alimentos!$A:$BA,17,FALSE)</f>
        <v>0</v>
      </c>
      <c r="R10" s="111">
        <f>VLOOKUP($A10,Alimentos!$A:$BA,18,FALSE)</f>
        <v>0</v>
      </c>
      <c r="S10" s="111">
        <f>VLOOKUP($A10,Alimentos!$A:$BA,19,FALSE)</f>
        <v>0</v>
      </c>
      <c r="T10" s="111">
        <f>VLOOKUP($A10,Alimentos!$A:$BA,20,FALSE)</f>
        <v>0</v>
      </c>
      <c r="U10" s="111">
        <f>VLOOKUP($A10,Alimentos!$A:$BA,21,FALSE)</f>
        <v>0</v>
      </c>
      <c r="V10" s="111">
        <f>VLOOKUP($A10,Alimentos!$A:$BA,22,FALSE)</f>
        <v>0</v>
      </c>
      <c r="W10" s="112">
        <f>VLOOKUP($A10,Alimentos!$A:$BA,23,FALSE)</f>
        <v>0</v>
      </c>
      <c r="X10" s="112">
        <f>VLOOKUP($A10,Alimentos!$A:$BA,24,FALSE)</f>
        <v>0</v>
      </c>
      <c r="Y10" s="112">
        <f>VLOOKUP($A10,Alimentos!$A:$BA,25,FALSE)</f>
        <v>0</v>
      </c>
      <c r="Z10" s="112">
        <f>VLOOKUP($A10,Alimentos!$A:$BA,26,FALSE)</f>
        <v>0</v>
      </c>
      <c r="AA10" s="112">
        <f>VLOOKUP($A10,Alimentos!$A:$BA,27,FALSE)</f>
        <v>0</v>
      </c>
      <c r="AB10" s="112">
        <f>VLOOKUP($A10,Alimentos!$A:$BA,28,FALSE)</f>
        <v>0</v>
      </c>
      <c r="AC10" s="112">
        <f>VLOOKUP($A10,Alimentos!$A:$BA,29,FALSE)</f>
        <v>0</v>
      </c>
      <c r="AD10" s="112">
        <f>VLOOKUP($A10,Alimentos!$A:$BA,30,FALSE)</f>
        <v>0</v>
      </c>
      <c r="AE10" s="112">
        <f>VLOOKUP($A10,Alimentos!$A:$BA,31,FALSE)</f>
        <v>0</v>
      </c>
      <c r="AF10" s="113">
        <f>VLOOKUP($A10,Alimentos!$A:$BA,32,FALSE)</f>
        <v>0</v>
      </c>
      <c r="AG10" s="113">
        <f>VLOOKUP($A10,Alimentos!$A:$BA,33,FALSE)</f>
        <v>0</v>
      </c>
      <c r="AH10" s="113">
        <f>VLOOKUP($A10,Alimentos!$A:$BA,34,FALSE)</f>
        <v>0</v>
      </c>
      <c r="AI10" s="113">
        <f>VLOOKUP($A10,Alimentos!$A:$BA,35,FALSE)</f>
        <v>0</v>
      </c>
      <c r="AJ10" s="113">
        <f>VLOOKUP($A10,Alimentos!$A:$BA,36,FALSE)</f>
        <v>0</v>
      </c>
      <c r="AK10" s="113">
        <f>VLOOKUP($A10,Alimentos!$A:$BA,37,FALSE)</f>
        <v>0</v>
      </c>
      <c r="AL10" s="113">
        <f>VLOOKUP($A10,Alimentos!$A:$BA,38,FALSE)</f>
        <v>0</v>
      </c>
      <c r="AM10" s="113">
        <f>VLOOKUP($A10,Alimentos!$A:$BA,39,FALSE)</f>
        <v>0</v>
      </c>
      <c r="AN10" s="113">
        <f>VLOOKUP($A10,Alimentos!$A:$BA,40,FALSE)</f>
        <v>0</v>
      </c>
      <c r="AO10" s="113">
        <f>VLOOKUP($A10,Alimentos!$A:$BA,41,FALSE)</f>
        <v>0</v>
      </c>
      <c r="AP10" s="113">
        <f>VLOOKUP($A10,Alimentos!$A:$BA,42,FALSE)</f>
        <v>0</v>
      </c>
      <c r="AQ10" s="113">
        <f>VLOOKUP($A10,Alimentos!$A:$BA,43,FALSE)</f>
        <v>0</v>
      </c>
      <c r="AR10" s="113">
        <f>VLOOKUP($A10,Alimentos!$A:$BA,44,FALSE)</f>
        <v>0</v>
      </c>
      <c r="AS10" s="113">
        <f>VLOOKUP($A10,Alimentos!$A:$BA,45,FALSE)</f>
        <v>0</v>
      </c>
      <c r="AT10" s="218">
        <f>VLOOKUP($A10,Alimentos!$A:$BA,46,FALSE)</f>
        <v>0</v>
      </c>
      <c r="AU10" s="218">
        <f>VLOOKUP($A10,Alimentos!$A:$BA,47,FALSE)</f>
        <v>0</v>
      </c>
      <c r="AV10" s="218">
        <f>VLOOKUP($A10,Alimentos!$A:$BA,48,FALSE)</f>
        <v>0</v>
      </c>
      <c r="AW10" s="218">
        <f>VLOOKUP($A10,Alimentos!$A:$BA,49,FALSE)</f>
        <v>0</v>
      </c>
      <c r="AX10" s="218">
        <f>VLOOKUP($A10,Alimentos!$A:$BA,50,FALSE)</f>
        <v>0</v>
      </c>
      <c r="AY10" s="113">
        <f>VLOOKUP($A10,Alimentos!$A:$BA,51,FALSE)</f>
        <v>0</v>
      </c>
      <c r="AZ10" s="113">
        <f>VLOOKUP($A10,Alimentos!$A:$BA,52,FALSE)</f>
        <v>0</v>
      </c>
      <c r="BA10" s="113">
        <f>VLOOKUP($A10,Alimentos!$A:$BA,53,FALSE)</f>
        <v>0</v>
      </c>
      <c r="BB10" s="113">
        <f>VLOOKUP($A10,Alimentos!$A:$BC,54,FALSE)</f>
        <v>0</v>
      </c>
      <c r="BC10" s="113">
        <f>VLOOKUP($A10,Alimentos!$A:$BC,55,FALSE)</f>
        <v>0</v>
      </c>
    </row>
    <row r="11" spans="1:55" x14ac:dyDescent="0.25">
      <c r="A11" s="108" t="s">
        <v>60</v>
      </c>
      <c r="B11" s="109">
        <f>VLOOKUP($A11,Alimentos!$A:$BA,2,FALSE)</f>
        <v>0</v>
      </c>
      <c r="C11" s="114">
        <f>VLOOKUP($A11,Alimentos!$A:$BA,4,FALSE)</f>
        <v>0</v>
      </c>
      <c r="E11" s="111">
        <f>VLOOKUP($A11,Alimentos!$A:$BA,5,FALSE)</f>
        <v>0</v>
      </c>
      <c r="F11" s="111">
        <f>VLOOKUP($A11,Alimentos!$A:$BA,6,FALSE)</f>
        <v>0</v>
      </c>
      <c r="G11" s="111">
        <f>VLOOKUP($A11,Alimentos!$A:$BA,7,FALSE)</f>
        <v>0</v>
      </c>
      <c r="H11" s="111">
        <f>VLOOKUP($A11,Alimentos!$A:$BA,8,FALSE)</f>
        <v>0</v>
      </c>
      <c r="I11" s="111">
        <f>VLOOKUP($A11,Alimentos!$A:$BA,9,FALSE)</f>
        <v>0</v>
      </c>
      <c r="J11" s="111">
        <f>VLOOKUP($A11,Alimentos!$A:$BA,10,FALSE)</f>
        <v>0</v>
      </c>
      <c r="K11" s="111">
        <f>VLOOKUP($A11,Alimentos!$A:$BA,11,FALSE)</f>
        <v>0</v>
      </c>
      <c r="L11" s="111">
        <f>VLOOKUP($A11,Alimentos!$A:$BA,12,FALSE)</f>
        <v>0</v>
      </c>
      <c r="M11" s="111">
        <f>VLOOKUP($A11,Alimentos!$A:$BA,13,FALSE)</f>
        <v>0</v>
      </c>
      <c r="N11" s="111">
        <f>VLOOKUP($A11,Alimentos!$A:$BA,14,FALSE)</f>
        <v>0</v>
      </c>
      <c r="O11" s="90">
        <f>VLOOKUP($A11,Alimentos!$A:$BA,15,FALSE)</f>
        <v>0</v>
      </c>
      <c r="P11" s="111">
        <f>VLOOKUP($A11,Alimentos!$A:$BA,16,FALSE)</f>
        <v>0</v>
      </c>
      <c r="Q11" s="111">
        <f>VLOOKUP($A11,Alimentos!$A:$BA,17,FALSE)</f>
        <v>0</v>
      </c>
      <c r="R11" s="111">
        <f>VLOOKUP($A11,Alimentos!$A:$BA,18,FALSE)</f>
        <v>0</v>
      </c>
      <c r="S11" s="111">
        <f>VLOOKUP($A11,Alimentos!$A:$BA,19,FALSE)</f>
        <v>0</v>
      </c>
      <c r="T11" s="111">
        <f>VLOOKUP($A11,Alimentos!$A:$BA,20,FALSE)</f>
        <v>0</v>
      </c>
      <c r="U11" s="111">
        <f>VLOOKUP($A11,Alimentos!$A:$BA,21,FALSE)</f>
        <v>0</v>
      </c>
      <c r="V11" s="111">
        <f>VLOOKUP($A11,Alimentos!$A:$BA,22,FALSE)</f>
        <v>0</v>
      </c>
      <c r="W11" s="112">
        <f>VLOOKUP($A11,Alimentos!$A:$BA,23,FALSE)</f>
        <v>0</v>
      </c>
      <c r="X11" s="112">
        <f>VLOOKUP($A11,Alimentos!$A:$BA,24,FALSE)</f>
        <v>0</v>
      </c>
      <c r="Y11" s="112">
        <f>VLOOKUP($A11,Alimentos!$A:$BA,25,FALSE)</f>
        <v>0</v>
      </c>
      <c r="Z11" s="112">
        <f>VLOOKUP($A11,Alimentos!$A:$BA,26,FALSE)</f>
        <v>0</v>
      </c>
      <c r="AA11" s="112">
        <f>VLOOKUP($A11,Alimentos!$A:$BA,27,FALSE)</f>
        <v>0</v>
      </c>
      <c r="AB11" s="112">
        <f>VLOOKUP($A11,Alimentos!$A:$BA,28,FALSE)</f>
        <v>0</v>
      </c>
      <c r="AC11" s="112">
        <f>VLOOKUP($A11,Alimentos!$A:$BA,29,FALSE)</f>
        <v>0</v>
      </c>
      <c r="AD11" s="112">
        <f>VLOOKUP($A11,Alimentos!$A:$BA,30,FALSE)</f>
        <v>0</v>
      </c>
      <c r="AE11" s="112">
        <f>VLOOKUP($A11,Alimentos!$A:$BA,31,FALSE)</f>
        <v>0</v>
      </c>
      <c r="AF11" s="113">
        <f>VLOOKUP($A11,Alimentos!$A:$BA,32,FALSE)</f>
        <v>0</v>
      </c>
      <c r="AG11" s="113">
        <f>VLOOKUP($A11,Alimentos!$A:$BA,33,FALSE)</f>
        <v>0</v>
      </c>
      <c r="AH11" s="113">
        <f>VLOOKUP($A11,Alimentos!$A:$BA,34,FALSE)</f>
        <v>0</v>
      </c>
      <c r="AI11" s="113">
        <f>VLOOKUP($A11,Alimentos!$A:$BA,35,FALSE)</f>
        <v>0</v>
      </c>
      <c r="AJ11" s="113">
        <f>VLOOKUP($A11,Alimentos!$A:$BA,36,FALSE)</f>
        <v>0</v>
      </c>
      <c r="AK11" s="113">
        <f>VLOOKUP($A11,Alimentos!$A:$BA,37,FALSE)</f>
        <v>0</v>
      </c>
      <c r="AL11" s="113">
        <f>VLOOKUP($A11,Alimentos!$A:$BA,38,FALSE)</f>
        <v>0</v>
      </c>
      <c r="AM11" s="113">
        <f>VLOOKUP($A11,Alimentos!$A:$BA,39,FALSE)</f>
        <v>0</v>
      </c>
      <c r="AN11" s="113">
        <f>VLOOKUP($A11,Alimentos!$A:$BA,40,FALSE)</f>
        <v>0</v>
      </c>
      <c r="AO11" s="113">
        <f>VLOOKUP($A11,Alimentos!$A:$BA,41,FALSE)</f>
        <v>0</v>
      </c>
      <c r="AP11" s="113">
        <f>VLOOKUP($A11,Alimentos!$A:$BA,42,FALSE)</f>
        <v>0</v>
      </c>
      <c r="AQ11" s="113">
        <f>VLOOKUP($A11,Alimentos!$A:$BA,43,FALSE)</f>
        <v>0</v>
      </c>
      <c r="AR11" s="113">
        <f>VLOOKUP($A11,Alimentos!$A:$BA,44,FALSE)</f>
        <v>0</v>
      </c>
      <c r="AS11" s="113">
        <f>VLOOKUP($A11,Alimentos!$A:$BA,45,FALSE)</f>
        <v>0</v>
      </c>
      <c r="AT11" s="218">
        <f>VLOOKUP($A11,Alimentos!$A:$BA,46,FALSE)</f>
        <v>0</v>
      </c>
      <c r="AU11" s="218">
        <f>VLOOKUP($A11,Alimentos!$A:$BA,47,FALSE)</f>
        <v>0</v>
      </c>
      <c r="AV11" s="218">
        <f>VLOOKUP($A11,Alimentos!$A:$BA,48,FALSE)</f>
        <v>0</v>
      </c>
      <c r="AW11" s="218">
        <f>VLOOKUP($A11,Alimentos!$A:$BA,49,FALSE)</f>
        <v>0</v>
      </c>
      <c r="AX11" s="218">
        <f>VLOOKUP($A11,Alimentos!$A:$BA,50,FALSE)</f>
        <v>0</v>
      </c>
      <c r="AY11" s="113">
        <f>VLOOKUP($A11,Alimentos!$A:$BA,51,FALSE)</f>
        <v>0</v>
      </c>
      <c r="AZ11" s="113">
        <f>VLOOKUP($A11,Alimentos!$A:$BA,52,FALSE)</f>
        <v>0</v>
      </c>
      <c r="BA11" s="113">
        <f>VLOOKUP($A11,Alimentos!$A:$BA,53,FALSE)</f>
        <v>0</v>
      </c>
      <c r="BB11" s="113">
        <f>VLOOKUP($A11,Alimentos!$A:$BC,54,FALSE)</f>
        <v>0</v>
      </c>
      <c r="BC11" s="113">
        <f>VLOOKUP($A11,Alimentos!$A:$BC,55,FALSE)</f>
        <v>0</v>
      </c>
    </row>
    <row r="12" spans="1:55" x14ac:dyDescent="0.25">
      <c r="A12" s="108" t="s">
        <v>60</v>
      </c>
      <c r="B12" s="109">
        <f>VLOOKUP($A12,Alimentos!$A:$BA,2,FALSE)</f>
        <v>0</v>
      </c>
      <c r="C12" s="114">
        <f>VLOOKUP($A12,Alimentos!$A:$BA,4,FALSE)</f>
        <v>0</v>
      </c>
      <c r="E12" s="111">
        <f>VLOOKUP($A12,Alimentos!$A:$BA,5,FALSE)</f>
        <v>0</v>
      </c>
      <c r="F12" s="111">
        <f>VLOOKUP($A12,Alimentos!$A:$BA,6,FALSE)</f>
        <v>0</v>
      </c>
      <c r="G12" s="111">
        <f>VLOOKUP($A12,Alimentos!$A:$BA,7,FALSE)</f>
        <v>0</v>
      </c>
      <c r="H12" s="111">
        <f>VLOOKUP($A12,Alimentos!$A:$BA,8,FALSE)</f>
        <v>0</v>
      </c>
      <c r="I12" s="111">
        <f>VLOOKUP($A12,Alimentos!$A:$BA,9,FALSE)</f>
        <v>0</v>
      </c>
      <c r="J12" s="111">
        <f>VLOOKUP($A12,Alimentos!$A:$BA,10,FALSE)</f>
        <v>0</v>
      </c>
      <c r="K12" s="111">
        <f>VLOOKUP($A12,Alimentos!$A:$BA,11,FALSE)</f>
        <v>0</v>
      </c>
      <c r="L12" s="111">
        <f>VLOOKUP($A12,Alimentos!$A:$BA,12,FALSE)</f>
        <v>0</v>
      </c>
      <c r="M12" s="111">
        <f>VLOOKUP($A12,Alimentos!$A:$BA,13,FALSE)</f>
        <v>0</v>
      </c>
      <c r="N12" s="111">
        <f>VLOOKUP($A12,Alimentos!$A:$BA,14,FALSE)</f>
        <v>0</v>
      </c>
      <c r="O12" s="90">
        <f>VLOOKUP($A12,Alimentos!$A:$BA,15,FALSE)</f>
        <v>0</v>
      </c>
      <c r="P12" s="111">
        <f>VLOOKUP($A12,Alimentos!$A:$BA,16,FALSE)</f>
        <v>0</v>
      </c>
      <c r="Q12" s="111">
        <f>VLOOKUP($A12,Alimentos!$A:$BA,17,FALSE)</f>
        <v>0</v>
      </c>
      <c r="R12" s="111">
        <f>VLOOKUP($A12,Alimentos!$A:$BA,18,FALSE)</f>
        <v>0</v>
      </c>
      <c r="S12" s="111">
        <f>VLOOKUP($A12,Alimentos!$A:$BA,19,FALSE)</f>
        <v>0</v>
      </c>
      <c r="T12" s="111">
        <f>VLOOKUP($A12,Alimentos!$A:$BA,20,FALSE)</f>
        <v>0</v>
      </c>
      <c r="U12" s="111">
        <f>VLOOKUP($A12,Alimentos!$A:$BA,21,FALSE)</f>
        <v>0</v>
      </c>
      <c r="V12" s="111">
        <f>VLOOKUP($A12,Alimentos!$A:$BA,22,FALSE)</f>
        <v>0</v>
      </c>
      <c r="W12" s="112">
        <f>VLOOKUP($A12,Alimentos!$A:$BA,23,FALSE)</f>
        <v>0</v>
      </c>
      <c r="X12" s="112">
        <f>VLOOKUP($A12,Alimentos!$A:$BA,24,FALSE)</f>
        <v>0</v>
      </c>
      <c r="Y12" s="112">
        <f>VLOOKUP($A12,Alimentos!$A:$BA,25,FALSE)</f>
        <v>0</v>
      </c>
      <c r="Z12" s="112">
        <f>VLOOKUP($A12,Alimentos!$A:$BA,26,FALSE)</f>
        <v>0</v>
      </c>
      <c r="AA12" s="112">
        <f>VLOOKUP($A12,Alimentos!$A:$BA,27,FALSE)</f>
        <v>0</v>
      </c>
      <c r="AB12" s="112">
        <f>VLOOKUP($A12,Alimentos!$A:$BA,28,FALSE)</f>
        <v>0</v>
      </c>
      <c r="AC12" s="112">
        <f>VLOOKUP($A12,Alimentos!$A:$BA,29,FALSE)</f>
        <v>0</v>
      </c>
      <c r="AD12" s="112">
        <f>VLOOKUP($A12,Alimentos!$A:$BA,30,FALSE)</f>
        <v>0</v>
      </c>
      <c r="AE12" s="112">
        <f>VLOOKUP($A12,Alimentos!$A:$BA,31,FALSE)</f>
        <v>0</v>
      </c>
      <c r="AF12" s="113">
        <f>VLOOKUP($A12,Alimentos!$A:$BA,32,FALSE)</f>
        <v>0</v>
      </c>
      <c r="AG12" s="113">
        <f>VLOOKUP($A12,Alimentos!$A:$BA,33,FALSE)</f>
        <v>0</v>
      </c>
      <c r="AH12" s="113">
        <f>VLOOKUP($A12,Alimentos!$A:$BA,34,FALSE)</f>
        <v>0</v>
      </c>
      <c r="AI12" s="113">
        <f>VLOOKUP($A12,Alimentos!$A:$BA,35,FALSE)</f>
        <v>0</v>
      </c>
      <c r="AJ12" s="113">
        <f>VLOOKUP($A12,Alimentos!$A:$BA,36,FALSE)</f>
        <v>0</v>
      </c>
      <c r="AK12" s="113">
        <f>VLOOKUP($A12,Alimentos!$A:$BA,37,FALSE)</f>
        <v>0</v>
      </c>
      <c r="AL12" s="113">
        <f>VLOOKUP($A12,Alimentos!$A:$BA,38,FALSE)</f>
        <v>0</v>
      </c>
      <c r="AM12" s="113">
        <f>VLOOKUP($A12,Alimentos!$A:$BA,39,FALSE)</f>
        <v>0</v>
      </c>
      <c r="AN12" s="113">
        <f>VLOOKUP($A12,Alimentos!$A:$BA,40,FALSE)</f>
        <v>0</v>
      </c>
      <c r="AO12" s="113">
        <f>VLOOKUP($A12,Alimentos!$A:$BA,41,FALSE)</f>
        <v>0</v>
      </c>
      <c r="AP12" s="113">
        <f>VLOOKUP($A12,Alimentos!$A:$BA,42,FALSE)</f>
        <v>0</v>
      </c>
      <c r="AQ12" s="113">
        <f>VLOOKUP($A12,Alimentos!$A:$BA,43,FALSE)</f>
        <v>0</v>
      </c>
      <c r="AR12" s="113">
        <f>VLOOKUP($A12,Alimentos!$A:$BA,44,FALSE)</f>
        <v>0</v>
      </c>
      <c r="AS12" s="113">
        <f>VLOOKUP($A12,Alimentos!$A:$BA,45,FALSE)</f>
        <v>0</v>
      </c>
      <c r="AT12" s="218">
        <f>VLOOKUP($A12,Alimentos!$A:$BA,46,FALSE)</f>
        <v>0</v>
      </c>
      <c r="AU12" s="218">
        <f>VLOOKUP($A12,Alimentos!$A:$BA,47,FALSE)</f>
        <v>0</v>
      </c>
      <c r="AV12" s="218">
        <f>VLOOKUP($A12,Alimentos!$A:$BA,48,FALSE)</f>
        <v>0</v>
      </c>
      <c r="AW12" s="218">
        <f>VLOOKUP($A12,Alimentos!$A:$BA,49,FALSE)</f>
        <v>0</v>
      </c>
      <c r="AX12" s="218">
        <f>VLOOKUP($A12,Alimentos!$A:$BA,50,FALSE)</f>
        <v>0</v>
      </c>
      <c r="AY12" s="113">
        <f>VLOOKUP($A12,Alimentos!$A:$BA,51,FALSE)</f>
        <v>0</v>
      </c>
      <c r="AZ12" s="113">
        <f>VLOOKUP($A12,Alimentos!$A:$BA,52,FALSE)</f>
        <v>0</v>
      </c>
      <c r="BA12" s="113">
        <f>VLOOKUP($A12,Alimentos!$A:$BA,53,FALSE)</f>
        <v>0</v>
      </c>
      <c r="BB12" s="113">
        <f>VLOOKUP($A12,Alimentos!$A:$BC,54,FALSE)</f>
        <v>0</v>
      </c>
      <c r="BC12" s="113">
        <f>VLOOKUP($A12,Alimentos!$A:$BC,55,FALSE)</f>
        <v>0</v>
      </c>
    </row>
    <row r="13" spans="1:55" x14ac:dyDescent="0.25">
      <c r="A13" s="108" t="s">
        <v>60</v>
      </c>
      <c r="B13" s="109">
        <f>VLOOKUP($A13,Alimentos!$A:$BA,2,FALSE)</f>
        <v>0</v>
      </c>
      <c r="C13" s="114">
        <f>VLOOKUP($A13,Alimentos!$A:$BA,4,FALSE)</f>
        <v>0</v>
      </c>
      <c r="E13" s="111">
        <f>VLOOKUP($A13,Alimentos!$A:$BA,5,FALSE)</f>
        <v>0</v>
      </c>
      <c r="F13" s="111">
        <f>VLOOKUP($A13,Alimentos!$A:$BA,6,FALSE)</f>
        <v>0</v>
      </c>
      <c r="G13" s="111">
        <f>VLOOKUP($A13,Alimentos!$A:$BA,7,FALSE)</f>
        <v>0</v>
      </c>
      <c r="H13" s="111">
        <f>VLOOKUP($A13,Alimentos!$A:$BA,8,FALSE)</f>
        <v>0</v>
      </c>
      <c r="I13" s="111">
        <f>VLOOKUP($A13,Alimentos!$A:$BA,9,FALSE)</f>
        <v>0</v>
      </c>
      <c r="J13" s="111">
        <f>VLOOKUP($A13,Alimentos!$A:$BA,10,FALSE)</f>
        <v>0</v>
      </c>
      <c r="K13" s="111">
        <f>VLOOKUP($A13,Alimentos!$A:$BA,11,FALSE)</f>
        <v>0</v>
      </c>
      <c r="L13" s="111">
        <f>VLOOKUP($A13,Alimentos!$A:$BA,12,FALSE)</f>
        <v>0</v>
      </c>
      <c r="M13" s="111">
        <f>VLOOKUP($A13,Alimentos!$A:$BA,13,FALSE)</f>
        <v>0</v>
      </c>
      <c r="N13" s="111">
        <f>VLOOKUP($A13,Alimentos!$A:$BA,14,FALSE)</f>
        <v>0</v>
      </c>
      <c r="O13" s="90">
        <f>VLOOKUP($A13,Alimentos!$A:$BA,15,FALSE)</f>
        <v>0</v>
      </c>
      <c r="P13" s="111">
        <f>VLOOKUP($A13,Alimentos!$A:$BA,16,FALSE)</f>
        <v>0</v>
      </c>
      <c r="Q13" s="111">
        <f>VLOOKUP($A13,Alimentos!$A:$BA,17,FALSE)</f>
        <v>0</v>
      </c>
      <c r="R13" s="111">
        <f>VLOOKUP($A13,Alimentos!$A:$BA,18,FALSE)</f>
        <v>0</v>
      </c>
      <c r="S13" s="111">
        <f>VLOOKUP($A13,Alimentos!$A:$BA,19,FALSE)</f>
        <v>0</v>
      </c>
      <c r="T13" s="111">
        <f>VLOOKUP($A13,Alimentos!$A:$BA,20,FALSE)</f>
        <v>0</v>
      </c>
      <c r="U13" s="111">
        <f>VLOOKUP($A13,Alimentos!$A:$BA,21,FALSE)</f>
        <v>0</v>
      </c>
      <c r="V13" s="111">
        <f>VLOOKUP($A13,Alimentos!$A:$BA,22,FALSE)</f>
        <v>0</v>
      </c>
      <c r="W13" s="112">
        <f>VLOOKUP($A13,Alimentos!$A:$BA,23,FALSE)</f>
        <v>0</v>
      </c>
      <c r="X13" s="112">
        <f>VLOOKUP($A13,Alimentos!$A:$BA,24,FALSE)</f>
        <v>0</v>
      </c>
      <c r="Y13" s="112">
        <f>VLOOKUP($A13,Alimentos!$A:$BA,25,FALSE)</f>
        <v>0</v>
      </c>
      <c r="Z13" s="112">
        <f>VLOOKUP($A13,Alimentos!$A:$BA,26,FALSE)</f>
        <v>0</v>
      </c>
      <c r="AA13" s="112">
        <f>VLOOKUP($A13,Alimentos!$A:$BA,27,FALSE)</f>
        <v>0</v>
      </c>
      <c r="AB13" s="112">
        <f>VLOOKUP($A13,Alimentos!$A:$BA,28,FALSE)</f>
        <v>0</v>
      </c>
      <c r="AC13" s="112">
        <f>VLOOKUP($A13,Alimentos!$A:$BA,29,FALSE)</f>
        <v>0</v>
      </c>
      <c r="AD13" s="112">
        <f>VLOOKUP($A13,Alimentos!$A:$BA,30,FALSE)</f>
        <v>0</v>
      </c>
      <c r="AE13" s="112">
        <f>VLOOKUP($A13,Alimentos!$A:$BA,31,FALSE)</f>
        <v>0</v>
      </c>
      <c r="AF13" s="113">
        <f>VLOOKUP($A13,Alimentos!$A:$BA,32,FALSE)</f>
        <v>0</v>
      </c>
      <c r="AG13" s="113">
        <f>VLOOKUP($A13,Alimentos!$A:$BA,33,FALSE)</f>
        <v>0</v>
      </c>
      <c r="AH13" s="113">
        <f>VLOOKUP($A13,Alimentos!$A:$BA,34,FALSE)</f>
        <v>0</v>
      </c>
      <c r="AI13" s="113">
        <f>VLOOKUP($A13,Alimentos!$A:$BA,35,FALSE)</f>
        <v>0</v>
      </c>
      <c r="AJ13" s="113">
        <f>VLOOKUP($A13,Alimentos!$A:$BA,36,FALSE)</f>
        <v>0</v>
      </c>
      <c r="AK13" s="113">
        <f>VLOOKUP($A13,Alimentos!$A:$BA,37,FALSE)</f>
        <v>0</v>
      </c>
      <c r="AL13" s="113">
        <f>VLOOKUP($A13,Alimentos!$A:$BA,38,FALSE)</f>
        <v>0</v>
      </c>
      <c r="AM13" s="115">
        <f>VLOOKUP($A13,Alimentos!$A:$BA,39,FALSE)</f>
        <v>0</v>
      </c>
      <c r="AN13" s="115">
        <f>VLOOKUP($A13,Alimentos!$A:$BA,40,FALSE)</f>
        <v>0</v>
      </c>
      <c r="AO13" s="115">
        <f>VLOOKUP($A13,Alimentos!$A:$BA,41,FALSE)</f>
        <v>0</v>
      </c>
      <c r="AP13" s="113">
        <f>VLOOKUP($A13,Alimentos!$A:$BA,42,FALSE)</f>
        <v>0</v>
      </c>
      <c r="AQ13" s="113">
        <f>VLOOKUP($A13,Alimentos!$A:$BA,43,FALSE)</f>
        <v>0</v>
      </c>
      <c r="AR13" s="113">
        <f>VLOOKUP($A13,Alimentos!$A:$BA,44,FALSE)</f>
        <v>0</v>
      </c>
      <c r="AS13" s="113">
        <f>VLOOKUP($A13,Alimentos!$A:$BA,45,FALSE)</f>
        <v>0</v>
      </c>
      <c r="AT13" s="218">
        <f>VLOOKUP($A13,Alimentos!$A:$BA,46,FALSE)</f>
        <v>0</v>
      </c>
      <c r="AU13" s="218">
        <f>VLOOKUP($A13,Alimentos!$A:$BA,47,FALSE)</f>
        <v>0</v>
      </c>
      <c r="AV13" s="218">
        <f>VLOOKUP($A13,Alimentos!$A:$BA,48,FALSE)</f>
        <v>0</v>
      </c>
      <c r="AW13" s="218">
        <f>VLOOKUP($A13,Alimentos!$A:$BA,49,FALSE)</f>
        <v>0</v>
      </c>
      <c r="AX13" s="218">
        <f>VLOOKUP($A13,Alimentos!$A:$BA,50,FALSE)</f>
        <v>0</v>
      </c>
      <c r="AY13" s="113">
        <f>VLOOKUP($A13,Alimentos!$A:$BA,51,FALSE)</f>
        <v>0</v>
      </c>
      <c r="AZ13" s="113">
        <f>VLOOKUP($A13,Alimentos!$A:$BA,52,FALSE)</f>
        <v>0</v>
      </c>
      <c r="BA13" s="113">
        <f>VLOOKUP($A13,Alimentos!$A:$BA,53,FALSE)</f>
        <v>0</v>
      </c>
      <c r="BB13" s="113">
        <f>VLOOKUP($A13,Alimentos!$A:$BC,54,FALSE)</f>
        <v>0</v>
      </c>
      <c r="BC13" s="113">
        <f>VLOOKUP($A13,Alimentos!$A:$BC,55,FALSE)</f>
        <v>0</v>
      </c>
    </row>
    <row r="14" spans="1:55" x14ac:dyDescent="0.25">
      <c r="A14" s="108" t="s">
        <v>60</v>
      </c>
      <c r="B14" s="109">
        <f>VLOOKUP($A14,Alimentos!$A:$BA,2,FALSE)</f>
        <v>0</v>
      </c>
      <c r="C14" s="114">
        <f>VLOOKUP($A14,Alimentos!$A:$BA,4,FALSE)</f>
        <v>0</v>
      </c>
      <c r="E14" s="111">
        <f>VLOOKUP($A14,Alimentos!$A:$BA,5,FALSE)</f>
        <v>0</v>
      </c>
      <c r="F14" s="111">
        <f>VLOOKUP($A14,Alimentos!$A:$BA,6,FALSE)</f>
        <v>0</v>
      </c>
      <c r="G14" s="111">
        <f>VLOOKUP($A14,Alimentos!$A:$BA,7,FALSE)</f>
        <v>0</v>
      </c>
      <c r="H14" s="111">
        <f>VLOOKUP($A14,Alimentos!$A:$BA,8,FALSE)</f>
        <v>0</v>
      </c>
      <c r="I14" s="111">
        <f>VLOOKUP($A14,Alimentos!$A:$BA,9,FALSE)</f>
        <v>0</v>
      </c>
      <c r="J14" s="111">
        <f>VLOOKUP($A14,Alimentos!$A:$BA,10,FALSE)</f>
        <v>0</v>
      </c>
      <c r="K14" s="111">
        <f>VLOOKUP($A14,Alimentos!$A:$BA,11,FALSE)</f>
        <v>0</v>
      </c>
      <c r="L14" s="111">
        <f>VLOOKUP($A14,Alimentos!$A:$BA,12,FALSE)</f>
        <v>0</v>
      </c>
      <c r="M14" s="111">
        <f>VLOOKUP($A14,Alimentos!$A:$BA,13,FALSE)</f>
        <v>0</v>
      </c>
      <c r="N14" s="111">
        <f>VLOOKUP($A14,Alimentos!$A:$BA,14,FALSE)</f>
        <v>0</v>
      </c>
      <c r="O14" s="90">
        <f>VLOOKUP($A14,Alimentos!$A:$BA,15,FALSE)</f>
        <v>0</v>
      </c>
      <c r="P14" s="111">
        <f>VLOOKUP($A14,Alimentos!$A:$BA,16,FALSE)</f>
        <v>0</v>
      </c>
      <c r="Q14" s="111">
        <f>VLOOKUP($A14,Alimentos!$A:$BA,17,FALSE)</f>
        <v>0</v>
      </c>
      <c r="R14" s="111">
        <f>VLOOKUP($A14,Alimentos!$A:$BA,18,FALSE)</f>
        <v>0</v>
      </c>
      <c r="S14" s="111">
        <f>VLOOKUP($A14,Alimentos!$A:$BA,19,FALSE)</f>
        <v>0</v>
      </c>
      <c r="T14" s="111">
        <f>VLOOKUP($A14,Alimentos!$A:$BA,20,FALSE)</f>
        <v>0</v>
      </c>
      <c r="U14" s="111">
        <f>VLOOKUP($A14,Alimentos!$A:$BA,21,FALSE)</f>
        <v>0</v>
      </c>
      <c r="V14" s="111">
        <f>VLOOKUP($A14,Alimentos!$A:$BA,22,FALSE)</f>
        <v>0</v>
      </c>
      <c r="W14" s="112">
        <f>VLOOKUP($A14,Alimentos!$A:$BA,23,FALSE)</f>
        <v>0</v>
      </c>
      <c r="X14" s="112">
        <f>VLOOKUP($A14,Alimentos!$A:$BA,24,FALSE)</f>
        <v>0</v>
      </c>
      <c r="Y14" s="112">
        <f>VLOOKUP($A14,Alimentos!$A:$BA,25,FALSE)</f>
        <v>0</v>
      </c>
      <c r="Z14" s="112">
        <f>VLOOKUP($A14,Alimentos!$A:$BA,26,FALSE)</f>
        <v>0</v>
      </c>
      <c r="AA14" s="112">
        <f>VLOOKUP($A14,Alimentos!$A:$BA,27,FALSE)</f>
        <v>0</v>
      </c>
      <c r="AB14" s="112">
        <f>VLOOKUP($A14,Alimentos!$A:$BA,28,FALSE)</f>
        <v>0</v>
      </c>
      <c r="AC14" s="112">
        <f>VLOOKUP($A14,Alimentos!$A:$BA,29,FALSE)</f>
        <v>0</v>
      </c>
      <c r="AD14" s="112">
        <f>VLOOKUP($A14,Alimentos!$A:$BA,30,FALSE)</f>
        <v>0</v>
      </c>
      <c r="AE14" s="112">
        <f>VLOOKUP($A14,Alimentos!$A:$BA,31,FALSE)</f>
        <v>0</v>
      </c>
      <c r="AF14" s="113">
        <f>VLOOKUP($A14,Alimentos!$A:$BA,32,FALSE)</f>
        <v>0</v>
      </c>
      <c r="AG14" s="113">
        <f>VLOOKUP($A14,Alimentos!$A:$BA,33,FALSE)</f>
        <v>0</v>
      </c>
      <c r="AH14" s="113">
        <f>VLOOKUP($A14,Alimentos!$A:$BA,34,FALSE)</f>
        <v>0</v>
      </c>
      <c r="AI14" s="113">
        <f>VLOOKUP($A14,Alimentos!$A:$BA,35,FALSE)</f>
        <v>0</v>
      </c>
      <c r="AJ14" s="113">
        <f>VLOOKUP($A14,Alimentos!$A:$BA,36,FALSE)</f>
        <v>0</v>
      </c>
      <c r="AK14" s="113">
        <f>VLOOKUP($A14,Alimentos!$A:$BA,37,FALSE)</f>
        <v>0</v>
      </c>
      <c r="AL14" s="113">
        <f>VLOOKUP($A14,Alimentos!$A:$BA,38,FALSE)</f>
        <v>0</v>
      </c>
      <c r="AM14" s="113">
        <f>VLOOKUP($A14,Alimentos!$A:$BA,39,FALSE)</f>
        <v>0</v>
      </c>
      <c r="AN14" s="113">
        <f>VLOOKUP($A14,Alimentos!$A:$BA,40,FALSE)</f>
        <v>0</v>
      </c>
      <c r="AO14" s="113">
        <f>VLOOKUP($A14,Alimentos!$A:$BA,41,FALSE)</f>
        <v>0</v>
      </c>
      <c r="AP14" s="113">
        <f>VLOOKUP($A14,Alimentos!$A:$BA,42,FALSE)</f>
        <v>0</v>
      </c>
      <c r="AQ14" s="113">
        <f>VLOOKUP($A14,Alimentos!$A:$BA,43,FALSE)</f>
        <v>0</v>
      </c>
      <c r="AR14" s="113">
        <f>VLOOKUP($A14,Alimentos!$A:$BA,44,FALSE)</f>
        <v>0</v>
      </c>
      <c r="AS14" s="113">
        <f>VLOOKUP($A14,Alimentos!$A:$BA,45,FALSE)</f>
        <v>0</v>
      </c>
      <c r="AT14" s="218">
        <f>VLOOKUP($A14,Alimentos!$A:$BA,46,FALSE)</f>
        <v>0</v>
      </c>
      <c r="AU14" s="218">
        <f>VLOOKUP($A14,Alimentos!$A:$BA,47,FALSE)</f>
        <v>0</v>
      </c>
      <c r="AV14" s="218">
        <f>VLOOKUP($A14,Alimentos!$A:$BA,48,FALSE)</f>
        <v>0</v>
      </c>
      <c r="AW14" s="218">
        <f>VLOOKUP($A14,Alimentos!$A:$BA,49,FALSE)</f>
        <v>0</v>
      </c>
      <c r="AX14" s="218">
        <f>VLOOKUP($A14,Alimentos!$A:$BA,50,FALSE)</f>
        <v>0</v>
      </c>
      <c r="AY14" s="113">
        <f>VLOOKUP($A14,Alimentos!$A:$BA,51,FALSE)</f>
        <v>0</v>
      </c>
      <c r="AZ14" s="113">
        <f>VLOOKUP($A14,Alimentos!$A:$BA,52,FALSE)</f>
        <v>0</v>
      </c>
      <c r="BA14" s="113">
        <f>VLOOKUP($A14,Alimentos!$A:$BA,53,FALSE)</f>
        <v>0</v>
      </c>
      <c r="BB14" s="113">
        <f>VLOOKUP($A14,Alimentos!$A:$BC,54,FALSE)</f>
        <v>0</v>
      </c>
      <c r="BC14" s="113">
        <f>VLOOKUP($A14,Alimentos!$A:$BC,55,FALSE)</f>
        <v>0</v>
      </c>
    </row>
    <row r="15" spans="1:55" x14ac:dyDescent="0.25">
      <c r="A15" s="108" t="s">
        <v>60</v>
      </c>
      <c r="B15" s="109">
        <f>VLOOKUP($A15,Alimentos!$A:$BA,2,FALSE)</f>
        <v>0</v>
      </c>
      <c r="C15" s="114">
        <f>VLOOKUP($A15,Alimentos!$A:$BA,4,FALSE)</f>
        <v>0</v>
      </c>
      <c r="E15" s="111">
        <f>VLOOKUP($A15,Alimentos!$A:$BA,5,FALSE)</f>
        <v>0</v>
      </c>
      <c r="F15" s="111">
        <f>VLOOKUP($A15,Alimentos!$A:$BA,6,FALSE)</f>
        <v>0</v>
      </c>
      <c r="G15" s="111">
        <f>VLOOKUP($A15,Alimentos!$A:$BA,7,FALSE)</f>
        <v>0</v>
      </c>
      <c r="H15" s="111">
        <f>VLOOKUP($A15,Alimentos!$A:$BA,8,FALSE)</f>
        <v>0</v>
      </c>
      <c r="I15" s="111">
        <f>VLOOKUP($A15,Alimentos!$A:$BA,9,FALSE)</f>
        <v>0</v>
      </c>
      <c r="J15" s="111">
        <f>VLOOKUP($A15,Alimentos!$A:$BA,10,FALSE)</f>
        <v>0</v>
      </c>
      <c r="K15" s="111">
        <f>VLOOKUP($A15,Alimentos!$A:$BA,11,FALSE)</f>
        <v>0</v>
      </c>
      <c r="L15" s="111">
        <f>VLOOKUP($A15,Alimentos!$A:$BA,12,FALSE)</f>
        <v>0</v>
      </c>
      <c r="M15" s="111">
        <f>VLOOKUP($A15,Alimentos!$A:$BA,13,FALSE)</f>
        <v>0</v>
      </c>
      <c r="N15" s="111">
        <f>VLOOKUP($A15,Alimentos!$A:$BA,14,FALSE)</f>
        <v>0</v>
      </c>
      <c r="O15" s="90">
        <f>VLOOKUP($A15,Alimentos!$A:$BA,15,FALSE)</f>
        <v>0</v>
      </c>
      <c r="P15" s="111">
        <f>VLOOKUP($A15,Alimentos!$A:$BA,16,FALSE)</f>
        <v>0</v>
      </c>
      <c r="Q15" s="111">
        <f>VLOOKUP($A15,Alimentos!$A:$BA,17,FALSE)</f>
        <v>0</v>
      </c>
      <c r="R15" s="111">
        <f>VLOOKUP($A15,Alimentos!$A:$BA,18,FALSE)</f>
        <v>0</v>
      </c>
      <c r="S15" s="111">
        <f>VLOOKUP($A15,Alimentos!$A:$BA,19,FALSE)</f>
        <v>0</v>
      </c>
      <c r="T15" s="111">
        <f>VLOOKUP($A15,Alimentos!$A:$BA,20,FALSE)</f>
        <v>0</v>
      </c>
      <c r="U15" s="111">
        <f>VLOOKUP($A15,Alimentos!$A:$BA,21,FALSE)</f>
        <v>0</v>
      </c>
      <c r="V15" s="111">
        <f>VLOOKUP($A15,Alimentos!$A:$BA,22,FALSE)</f>
        <v>0</v>
      </c>
      <c r="W15" s="112">
        <f>VLOOKUP($A15,Alimentos!$A:$BA,23,FALSE)</f>
        <v>0</v>
      </c>
      <c r="X15" s="112">
        <f>VLOOKUP($A15,Alimentos!$A:$BA,24,FALSE)</f>
        <v>0</v>
      </c>
      <c r="Y15" s="112">
        <f>VLOOKUP($A15,Alimentos!$A:$BA,25,FALSE)</f>
        <v>0</v>
      </c>
      <c r="Z15" s="112">
        <f>VLOOKUP($A15,Alimentos!$A:$BA,26,FALSE)</f>
        <v>0</v>
      </c>
      <c r="AA15" s="112">
        <f>VLOOKUP($A15,Alimentos!$A:$BA,27,FALSE)</f>
        <v>0</v>
      </c>
      <c r="AB15" s="112">
        <f>VLOOKUP($A15,Alimentos!$A:$BA,28,FALSE)</f>
        <v>0</v>
      </c>
      <c r="AC15" s="112">
        <f>VLOOKUP($A15,Alimentos!$A:$BA,29,FALSE)</f>
        <v>0</v>
      </c>
      <c r="AD15" s="112">
        <f>VLOOKUP($A15,Alimentos!$A:$BA,30,FALSE)</f>
        <v>0</v>
      </c>
      <c r="AE15" s="112">
        <f>VLOOKUP($A15,Alimentos!$A:$BA,31,FALSE)</f>
        <v>0</v>
      </c>
      <c r="AF15" s="113">
        <f>VLOOKUP($A15,Alimentos!$A:$BA,32,FALSE)</f>
        <v>0</v>
      </c>
      <c r="AG15" s="113">
        <f>VLOOKUP($A15,Alimentos!$A:$BA,33,FALSE)</f>
        <v>0</v>
      </c>
      <c r="AH15" s="113">
        <f>VLOOKUP($A15,Alimentos!$A:$BA,34,FALSE)</f>
        <v>0</v>
      </c>
      <c r="AI15" s="113">
        <f>VLOOKUP($A15,Alimentos!$A:$BA,35,FALSE)</f>
        <v>0</v>
      </c>
      <c r="AJ15" s="113">
        <f>VLOOKUP($A15,Alimentos!$A:$BA,36,FALSE)</f>
        <v>0</v>
      </c>
      <c r="AK15" s="113">
        <f>VLOOKUP($A15,Alimentos!$A:$BA,37,FALSE)</f>
        <v>0</v>
      </c>
      <c r="AL15" s="113">
        <f>VLOOKUP($A15,Alimentos!$A:$BA,38,FALSE)</f>
        <v>0</v>
      </c>
      <c r="AM15" s="113">
        <f>VLOOKUP($A15,Alimentos!$A:$BA,39,FALSE)</f>
        <v>0</v>
      </c>
      <c r="AN15" s="113">
        <f>VLOOKUP($A15,Alimentos!$A:$BA,40,FALSE)</f>
        <v>0</v>
      </c>
      <c r="AO15" s="113">
        <f>VLOOKUP($A15,Alimentos!$A:$BA,41,FALSE)</f>
        <v>0</v>
      </c>
      <c r="AP15" s="113">
        <f>VLOOKUP($A15,Alimentos!$A:$BA,42,FALSE)</f>
        <v>0</v>
      </c>
      <c r="AQ15" s="113">
        <f>VLOOKUP($A15,Alimentos!$A:$BA,43,FALSE)</f>
        <v>0</v>
      </c>
      <c r="AR15" s="113">
        <f>VLOOKUP($A15,Alimentos!$A:$BA,44,FALSE)</f>
        <v>0</v>
      </c>
      <c r="AS15" s="113">
        <f>VLOOKUP($A15,Alimentos!$A:$BA,45,FALSE)</f>
        <v>0</v>
      </c>
      <c r="AT15" s="218">
        <f>VLOOKUP($A15,Alimentos!$A:$BA,46,FALSE)</f>
        <v>0</v>
      </c>
      <c r="AU15" s="218">
        <f>VLOOKUP($A15,Alimentos!$A:$BA,47,FALSE)</f>
        <v>0</v>
      </c>
      <c r="AV15" s="218">
        <f>VLOOKUP($A15,Alimentos!$A:$BA,48,FALSE)</f>
        <v>0</v>
      </c>
      <c r="AW15" s="218">
        <f>VLOOKUP($A15,Alimentos!$A:$BA,49,FALSE)</f>
        <v>0</v>
      </c>
      <c r="AX15" s="218">
        <f>VLOOKUP($A15,Alimentos!$A:$BA,50,FALSE)</f>
        <v>0</v>
      </c>
      <c r="AY15" s="113">
        <f>VLOOKUP($A15,Alimentos!$A:$BA,51,FALSE)</f>
        <v>0</v>
      </c>
      <c r="AZ15" s="113">
        <f>VLOOKUP($A15,Alimentos!$A:$BA,52,FALSE)</f>
        <v>0</v>
      </c>
      <c r="BA15" s="113">
        <f>VLOOKUP($A15,Alimentos!$A:$BA,53,FALSE)</f>
        <v>0</v>
      </c>
      <c r="BB15" s="113">
        <f>VLOOKUP($A15,Alimentos!$A:$BC,54,FALSE)</f>
        <v>0</v>
      </c>
      <c r="BC15" s="113">
        <f>VLOOKUP($A15,Alimentos!$A:$BC,55,FALSE)</f>
        <v>0</v>
      </c>
    </row>
    <row r="16" spans="1:55" x14ac:dyDescent="0.25">
      <c r="A16" s="108" t="s">
        <v>60</v>
      </c>
      <c r="B16" s="109">
        <f>VLOOKUP($A16,Alimentos!$A:$BA,2,FALSE)</f>
        <v>0</v>
      </c>
      <c r="C16" s="114">
        <f>VLOOKUP($A16,Alimentos!$A:$BA,4,FALSE)</f>
        <v>0</v>
      </c>
      <c r="E16" s="111">
        <f>VLOOKUP($A16,Alimentos!$A:$BA,5,FALSE)</f>
        <v>0</v>
      </c>
      <c r="F16" s="111">
        <f>VLOOKUP($A16,Alimentos!$A:$BA,6,FALSE)</f>
        <v>0</v>
      </c>
      <c r="G16" s="111">
        <f>VLOOKUP($A16,Alimentos!$A:$BA,7,FALSE)</f>
        <v>0</v>
      </c>
      <c r="H16" s="111">
        <f>VLOOKUP($A16,Alimentos!$A:$BA,8,FALSE)</f>
        <v>0</v>
      </c>
      <c r="I16" s="111">
        <f>VLOOKUP($A16,Alimentos!$A:$BA,9,FALSE)</f>
        <v>0</v>
      </c>
      <c r="J16" s="111">
        <f>VLOOKUP($A16,Alimentos!$A:$BA,10,FALSE)</f>
        <v>0</v>
      </c>
      <c r="K16" s="111">
        <f>VLOOKUP($A16,Alimentos!$A:$BA,11,FALSE)</f>
        <v>0</v>
      </c>
      <c r="L16" s="111">
        <f>VLOOKUP($A16,Alimentos!$A:$BA,12,FALSE)</f>
        <v>0</v>
      </c>
      <c r="M16" s="111">
        <f>VLOOKUP($A16,Alimentos!$A:$BA,13,FALSE)</f>
        <v>0</v>
      </c>
      <c r="N16" s="111">
        <f>VLOOKUP($A16,Alimentos!$A:$BA,14,FALSE)</f>
        <v>0</v>
      </c>
      <c r="O16" s="90">
        <f>VLOOKUP($A16,Alimentos!$A:$BA,15,FALSE)</f>
        <v>0</v>
      </c>
      <c r="P16" s="111">
        <f>VLOOKUP($A16,Alimentos!$A:$BA,16,FALSE)</f>
        <v>0</v>
      </c>
      <c r="Q16" s="111">
        <f>VLOOKUP($A16,Alimentos!$A:$BA,17,FALSE)</f>
        <v>0</v>
      </c>
      <c r="R16" s="111">
        <f>VLOOKUP($A16,Alimentos!$A:$BA,18,FALSE)</f>
        <v>0</v>
      </c>
      <c r="S16" s="111">
        <f>VLOOKUP($A16,Alimentos!$A:$BA,19,FALSE)</f>
        <v>0</v>
      </c>
      <c r="T16" s="111">
        <f>VLOOKUP($A16,Alimentos!$A:$BA,20,FALSE)</f>
        <v>0</v>
      </c>
      <c r="U16" s="111">
        <f>VLOOKUP($A16,Alimentos!$A:$BA,21,FALSE)</f>
        <v>0</v>
      </c>
      <c r="V16" s="111">
        <f>VLOOKUP($A16,Alimentos!$A:$BA,22,FALSE)</f>
        <v>0</v>
      </c>
      <c r="W16" s="112">
        <f>VLOOKUP($A16,Alimentos!$A:$BA,23,FALSE)</f>
        <v>0</v>
      </c>
      <c r="X16" s="112">
        <f>VLOOKUP($A16,Alimentos!$A:$BA,24,FALSE)</f>
        <v>0</v>
      </c>
      <c r="Y16" s="112">
        <f>VLOOKUP($A16,Alimentos!$A:$BA,25,FALSE)</f>
        <v>0</v>
      </c>
      <c r="Z16" s="112">
        <f>VLOOKUP($A16,Alimentos!$A:$BA,26,FALSE)</f>
        <v>0</v>
      </c>
      <c r="AA16" s="112">
        <f>VLOOKUP($A16,Alimentos!$A:$BA,27,FALSE)</f>
        <v>0</v>
      </c>
      <c r="AB16" s="112">
        <f>VLOOKUP($A16,Alimentos!$A:$BA,28,FALSE)</f>
        <v>0</v>
      </c>
      <c r="AC16" s="112">
        <f>VLOOKUP($A16,Alimentos!$A:$BA,29,FALSE)</f>
        <v>0</v>
      </c>
      <c r="AD16" s="112">
        <f>VLOOKUP($A16,Alimentos!$A:$BA,30,FALSE)</f>
        <v>0</v>
      </c>
      <c r="AE16" s="112">
        <f>VLOOKUP($A16,Alimentos!$A:$BA,31,FALSE)</f>
        <v>0</v>
      </c>
      <c r="AF16" s="113">
        <f>VLOOKUP($A16,Alimentos!$A:$BA,32,FALSE)</f>
        <v>0</v>
      </c>
      <c r="AG16" s="113">
        <f>VLOOKUP($A16,Alimentos!$A:$BA,33,FALSE)</f>
        <v>0</v>
      </c>
      <c r="AH16" s="113">
        <f>VLOOKUP($A16,Alimentos!$A:$BA,34,FALSE)</f>
        <v>0</v>
      </c>
      <c r="AI16" s="113">
        <f>VLOOKUP($A16,Alimentos!$A:$BA,35,FALSE)</f>
        <v>0</v>
      </c>
      <c r="AJ16" s="113">
        <f>VLOOKUP($A16,Alimentos!$A:$BA,36,FALSE)</f>
        <v>0</v>
      </c>
      <c r="AK16" s="113">
        <f>VLOOKUP($A16,Alimentos!$A:$BA,37,FALSE)</f>
        <v>0</v>
      </c>
      <c r="AL16" s="113">
        <f>VLOOKUP($A16,Alimentos!$A:$BA,38,FALSE)</f>
        <v>0</v>
      </c>
      <c r="AM16" s="113">
        <f>VLOOKUP($A16,Alimentos!$A:$BA,39,FALSE)</f>
        <v>0</v>
      </c>
      <c r="AN16" s="113">
        <f>VLOOKUP($A16,Alimentos!$A:$BA,40,FALSE)</f>
        <v>0</v>
      </c>
      <c r="AO16" s="113">
        <f>VLOOKUP($A16,Alimentos!$A:$BA,41,FALSE)</f>
        <v>0</v>
      </c>
      <c r="AP16" s="113">
        <f>VLOOKUP($A16,Alimentos!$A:$BA,42,FALSE)</f>
        <v>0</v>
      </c>
      <c r="AQ16" s="113">
        <f>VLOOKUP($A16,Alimentos!$A:$BA,43,FALSE)</f>
        <v>0</v>
      </c>
      <c r="AR16" s="113">
        <f>VLOOKUP($A16,Alimentos!$A:$BA,44,FALSE)</f>
        <v>0</v>
      </c>
      <c r="AS16" s="113">
        <f>VLOOKUP($A16,Alimentos!$A:$BA,45,FALSE)</f>
        <v>0</v>
      </c>
      <c r="AT16" s="218">
        <f>VLOOKUP($A16,Alimentos!$A:$BA,46,FALSE)</f>
        <v>0</v>
      </c>
      <c r="AU16" s="218">
        <f>VLOOKUP($A16,Alimentos!$A:$BA,47,FALSE)</f>
        <v>0</v>
      </c>
      <c r="AV16" s="218">
        <f>VLOOKUP($A16,Alimentos!$A:$BA,48,FALSE)</f>
        <v>0</v>
      </c>
      <c r="AW16" s="218">
        <f>VLOOKUP($A16,Alimentos!$A:$BA,49,FALSE)</f>
        <v>0</v>
      </c>
      <c r="AX16" s="218">
        <f>VLOOKUP($A16,Alimentos!$A:$BA,50,FALSE)</f>
        <v>0</v>
      </c>
      <c r="AY16" s="113">
        <f>VLOOKUP($A16,Alimentos!$A:$BA,51,FALSE)</f>
        <v>0</v>
      </c>
      <c r="AZ16" s="113">
        <f>VLOOKUP($A16,Alimentos!$A:$BA,52,FALSE)</f>
        <v>0</v>
      </c>
      <c r="BA16" s="113">
        <f>VLOOKUP($A16,Alimentos!$A:$BA,53,FALSE)</f>
        <v>0</v>
      </c>
      <c r="BB16" s="113">
        <f>VLOOKUP($A16,Alimentos!$A:$BC,54,FALSE)</f>
        <v>0</v>
      </c>
      <c r="BC16" s="113">
        <f>VLOOKUP($A16,Alimentos!$A:$BC,55,FALSE)</f>
        <v>0</v>
      </c>
    </row>
    <row r="17" spans="1:55" x14ac:dyDescent="0.25">
      <c r="A17" s="108" t="s">
        <v>60</v>
      </c>
      <c r="B17" s="109">
        <f>VLOOKUP($A17,Alimentos!$A:$BA,2,FALSE)</f>
        <v>0</v>
      </c>
      <c r="C17" s="114">
        <f>VLOOKUP($A17,Alimentos!$A:$BA,4,FALSE)</f>
        <v>0</v>
      </c>
      <c r="E17" s="111">
        <f>VLOOKUP($A17,Alimentos!$A:$BA,5,FALSE)</f>
        <v>0</v>
      </c>
      <c r="F17" s="111">
        <f>VLOOKUP($A17,Alimentos!$A:$BA,6,FALSE)</f>
        <v>0</v>
      </c>
      <c r="G17" s="111">
        <f>VLOOKUP($A17,Alimentos!$A:$BA,7,FALSE)</f>
        <v>0</v>
      </c>
      <c r="H17" s="111">
        <f>VLOOKUP($A17,Alimentos!$A:$BA,8,FALSE)</f>
        <v>0</v>
      </c>
      <c r="I17" s="111">
        <f>VLOOKUP($A17,Alimentos!$A:$BA,9,FALSE)</f>
        <v>0</v>
      </c>
      <c r="J17" s="111">
        <f>VLOOKUP($A17,Alimentos!$A:$BA,10,FALSE)</f>
        <v>0</v>
      </c>
      <c r="K17" s="111">
        <f>VLOOKUP($A17,Alimentos!$A:$BA,11,FALSE)</f>
        <v>0</v>
      </c>
      <c r="L17" s="111">
        <f>VLOOKUP($A17,Alimentos!$A:$BA,12,FALSE)</f>
        <v>0</v>
      </c>
      <c r="M17" s="111">
        <f>VLOOKUP($A17,Alimentos!$A:$BA,13,FALSE)</f>
        <v>0</v>
      </c>
      <c r="N17" s="111">
        <f>VLOOKUP($A17,Alimentos!$A:$BA,14,FALSE)</f>
        <v>0</v>
      </c>
      <c r="O17" s="90">
        <f>VLOOKUP($A17,Alimentos!$A:$BA,15,FALSE)</f>
        <v>0</v>
      </c>
      <c r="P17" s="111">
        <f>VLOOKUP($A17,Alimentos!$A:$BA,16,FALSE)</f>
        <v>0</v>
      </c>
      <c r="Q17" s="111">
        <f>VLOOKUP($A17,Alimentos!$A:$BA,17,FALSE)</f>
        <v>0</v>
      </c>
      <c r="R17" s="111">
        <f>VLOOKUP($A17,Alimentos!$A:$BA,18,FALSE)</f>
        <v>0</v>
      </c>
      <c r="S17" s="111">
        <f>VLOOKUP($A17,Alimentos!$A:$BA,19,FALSE)</f>
        <v>0</v>
      </c>
      <c r="T17" s="111">
        <f>VLOOKUP($A17,Alimentos!$A:$BA,20,FALSE)</f>
        <v>0</v>
      </c>
      <c r="U17" s="111">
        <f>VLOOKUP($A17,Alimentos!$A:$BA,21,FALSE)</f>
        <v>0</v>
      </c>
      <c r="V17" s="111">
        <f>VLOOKUP($A17,Alimentos!$A:$BA,22,FALSE)</f>
        <v>0</v>
      </c>
      <c r="W17" s="112">
        <f>VLOOKUP($A17,Alimentos!$A:$BA,23,FALSE)</f>
        <v>0</v>
      </c>
      <c r="X17" s="112">
        <f>VLOOKUP($A17,Alimentos!$A:$BA,24,FALSE)</f>
        <v>0</v>
      </c>
      <c r="Y17" s="112">
        <f>VLOOKUP($A17,Alimentos!$A:$BA,25,FALSE)</f>
        <v>0</v>
      </c>
      <c r="Z17" s="112">
        <f>VLOOKUP($A17,Alimentos!$A:$BA,26,FALSE)</f>
        <v>0</v>
      </c>
      <c r="AA17" s="112">
        <f>VLOOKUP($A17,Alimentos!$A:$BA,27,FALSE)</f>
        <v>0</v>
      </c>
      <c r="AB17" s="112">
        <f>VLOOKUP($A17,Alimentos!$A:$BA,28,FALSE)</f>
        <v>0</v>
      </c>
      <c r="AC17" s="112">
        <f>VLOOKUP($A17,Alimentos!$A:$BA,29,FALSE)</f>
        <v>0</v>
      </c>
      <c r="AD17" s="112">
        <f>VLOOKUP($A17,Alimentos!$A:$BA,30,FALSE)</f>
        <v>0</v>
      </c>
      <c r="AE17" s="112">
        <f>VLOOKUP($A17,Alimentos!$A:$BA,31,FALSE)</f>
        <v>0</v>
      </c>
      <c r="AF17" s="113">
        <f>VLOOKUP($A17,Alimentos!$A:$BA,32,FALSE)</f>
        <v>0</v>
      </c>
      <c r="AG17" s="113">
        <f>VLOOKUP($A17,Alimentos!$A:$BA,33,FALSE)</f>
        <v>0</v>
      </c>
      <c r="AH17" s="113">
        <f>VLOOKUP($A17,Alimentos!$A:$BA,34,FALSE)</f>
        <v>0</v>
      </c>
      <c r="AI17" s="113">
        <f>VLOOKUP($A17,Alimentos!$A:$BA,35,FALSE)</f>
        <v>0</v>
      </c>
      <c r="AJ17" s="113">
        <f>VLOOKUP($A17,Alimentos!$A:$BA,36,FALSE)</f>
        <v>0</v>
      </c>
      <c r="AK17" s="113">
        <f>VLOOKUP($A17,Alimentos!$A:$BA,37,FALSE)</f>
        <v>0</v>
      </c>
      <c r="AL17" s="113">
        <f>VLOOKUP($A17,Alimentos!$A:$BA,38,FALSE)</f>
        <v>0</v>
      </c>
      <c r="AM17" s="113">
        <f>VLOOKUP($A17,Alimentos!$A:$BA,39,FALSE)</f>
        <v>0</v>
      </c>
      <c r="AN17" s="113">
        <f>VLOOKUP($A17,Alimentos!$A:$BA,40,FALSE)</f>
        <v>0</v>
      </c>
      <c r="AO17" s="113">
        <f>VLOOKUP($A17,Alimentos!$A:$BA,41,FALSE)</f>
        <v>0</v>
      </c>
      <c r="AP17" s="113">
        <f>VLOOKUP($A17,Alimentos!$A:$BA,42,FALSE)</f>
        <v>0</v>
      </c>
      <c r="AQ17" s="113">
        <f>VLOOKUP($A17,Alimentos!$A:$BA,43,FALSE)</f>
        <v>0</v>
      </c>
      <c r="AR17" s="113">
        <f>VLOOKUP($A17,Alimentos!$A:$BA,44,FALSE)</f>
        <v>0</v>
      </c>
      <c r="AS17" s="113">
        <f>VLOOKUP($A17,Alimentos!$A:$BA,45,FALSE)</f>
        <v>0</v>
      </c>
      <c r="AT17" s="218">
        <f>VLOOKUP($A17,Alimentos!$A:$BA,46,FALSE)</f>
        <v>0</v>
      </c>
      <c r="AU17" s="218">
        <f>VLOOKUP($A17,Alimentos!$A:$BA,47,FALSE)</f>
        <v>0</v>
      </c>
      <c r="AV17" s="218">
        <f>VLOOKUP($A17,Alimentos!$A:$BA,48,FALSE)</f>
        <v>0</v>
      </c>
      <c r="AW17" s="218">
        <f>VLOOKUP($A17,Alimentos!$A:$BA,49,FALSE)</f>
        <v>0</v>
      </c>
      <c r="AX17" s="218">
        <f>VLOOKUP($A17,Alimentos!$A:$BA,50,FALSE)</f>
        <v>0</v>
      </c>
      <c r="AY17" s="113">
        <f>VLOOKUP($A17,Alimentos!$A:$BA,51,FALSE)</f>
        <v>0</v>
      </c>
      <c r="AZ17" s="113">
        <f>VLOOKUP($A17,Alimentos!$A:$BA,52,FALSE)</f>
        <v>0</v>
      </c>
      <c r="BA17" s="113">
        <f>VLOOKUP($A17,Alimentos!$A:$BA,53,FALSE)</f>
        <v>0</v>
      </c>
      <c r="BB17" s="113">
        <f>VLOOKUP($A17,Alimentos!$A:$BC,54,FALSE)</f>
        <v>0</v>
      </c>
      <c r="BC17" s="113">
        <f>VLOOKUP($A17,Alimentos!$A:$BC,55,FALSE)</f>
        <v>0</v>
      </c>
    </row>
    <row r="18" spans="1:55" x14ac:dyDescent="0.25">
      <c r="A18" s="108" t="s">
        <v>60</v>
      </c>
      <c r="B18" s="109">
        <f>VLOOKUP($A18,Alimentos!$A:$BA,2,FALSE)</f>
        <v>0</v>
      </c>
      <c r="C18" s="114">
        <f>VLOOKUP($A18,Alimentos!$A:$BA,4,FALSE)</f>
        <v>0</v>
      </c>
      <c r="E18" s="111">
        <f>VLOOKUP($A18,Alimentos!$A:$BA,5,FALSE)</f>
        <v>0</v>
      </c>
      <c r="F18" s="111">
        <f>VLOOKUP($A18,Alimentos!$A:$BA,6,FALSE)</f>
        <v>0</v>
      </c>
      <c r="G18" s="111">
        <f>VLOOKUP($A18,Alimentos!$A:$BA,7,FALSE)</f>
        <v>0</v>
      </c>
      <c r="H18" s="111">
        <f>VLOOKUP($A18,Alimentos!$A:$BA,8,FALSE)</f>
        <v>0</v>
      </c>
      <c r="I18" s="111">
        <f>VLOOKUP($A18,Alimentos!$A:$BA,9,FALSE)</f>
        <v>0</v>
      </c>
      <c r="J18" s="111">
        <f>VLOOKUP($A18,Alimentos!$A:$BA,10,FALSE)</f>
        <v>0</v>
      </c>
      <c r="K18" s="111">
        <f>VLOOKUP($A18,Alimentos!$A:$BA,11,FALSE)</f>
        <v>0</v>
      </c>
      <c r="L18" s="111">
        <f>VLOOKUP($A18,Alimentos!$A:$BA,12,FALSE)</f>
        <v>0</v>
      </c>
      <c r="M18" s="111">
        <f>VLOOKUP($A18,Alimentos!$A:$BA,13,FALSE)</f>
        <v>0</v>
      </c>
      <c r="N18" s="111">
        <f>VLOOKUP($A18,Alimentos!$A:$BA,14,FALSE)</f>
        <v>0</v>
      </c>
      <c r="O18" s="90">
        <f>VLOOKUP($A18,Alimentos!$A:$BA,15,FALSE)</f>
        <v>0</v>
      </c>
      <c r="P18" s="111">
        <f>VLOOKUP($A18,Alimentos!$A:$BA,16,FALSE)</f>
        <v>0</v>
      </c>
      <c r="Q18" s="111">
        <f>VLOOKUP($A18,Alimentos!$A:$BA,17,FALSE)</f>
        <v>0</v>
      </c>
      <c r="R18" s="111">
        <f>VLOOKUP($A18,Alimentos!$A:$BA,18,FALSE)</f>
        <v>0</v>
      </c>
      <c r="S18" s="111">
        <f>VLOOKUP($A18,Alimentos!$A:$BA,19,FALSE)</f>
        <v>0</v>
      </c>
      <c r="T18" s="111">
        <f>VLOOKUP($A18,Alimentos!$A:$BA,20,FALSE)</f>
        <v>0</v>
      </c>
      <c r="U18" s="111">
        <f>VLOOKUP($A18,Alimentos!$A:$BA,21,FALSE)</f>
        <v>0</v>
      </c>
      <c r="V18" s="111">
        <f>VLOOKUP($A18,Alimentos!$A:$BA,22,FALSE)</f>
        <v>0</v>
      </c>
      <c r="W18" s="112">
        <f>VLOOKUP($A18,Alimentos!$A:$BA,23,FALSE)</f>
        <v>0</v>
      </c>
      <c r="X18" s="112">
        <f>VLOOKUP($A18,Alimentos!$A:$BA,24,FALSE)</f>
        <v>0</v>
      </c>
      <c r="Y18" s="112">
        <f>VLOOKUP($A18,Alimentos!$A:$BA,25,FALSE)</f>
        <v>0</v>
      </c>
      <c r="Z18" s="112">
        <f>VLOOKUP($A18,Alimentos!$A:$BA,26,FALSE)</f>
        <v>0</v>
      </c>
      <c r="AA18" s="112">
        <f>VLOOKUP($A18,Alimentos!$A:$BA,27,FALSE)</f>
        <v>0</v>
      </c>
      <c r="AB18" s="112">
        <f>VLOOKUP($A18,Alimentos!$A:$BA,28,FALSE)</f>
        <v>0</v>
      </c>
      <c r="AC18" s="112">
        <f>VLOOKUP($A18,Alimentos!$A:$BA,29,FALSE)</f>
        <v>0</v>
      </c>
      <c r="AD18" s="112">
        <f>VLOOKUP($A18,Alimentos!$A:$BA,30,FALSE)</f>
        <v>0</v>
      </c>
      <c r="AE18" s="112">
        <f>VLOOKUP($A18,Alimentos!$A:$BA,31,FALSE)</f>
        <v>0</v>
      </c>
      <c r="AF18" s="113">
        <f>VLOOKUP($A18,Alimentos!$A:$BA,32,FALSE)</f>
        <v>0</v>
      </c>
      <c r="AG18" s="113">
        <f>VLOOKUP($A18,Alimentos!$A:$BA,33,FALSE)</f>
        <v>0</v>
      </c>
      <c r="AH18" s="113">
        <f>VLOOKUP($A18,Alimentos!$A:$BA,34,FALSE)</f>
        <v>0</v>
      </c>
      <c r="AI18" s="113">
        <f>VLOOKUP($A18,Alimentos!$A:$BA,35,FALSE)</f>
        <v>0</v>
      </c>
      <c r="AJ18" s="113">
        <f>VLOOKUP($A18,Alimentos!$A:$BA,36,FALSE)</f>
        <v>0</v>
      </c>
      <c r="AK18" s="113">
        <f>VLOOKUP($A18,Alimentos!$A:$BA,37,FALSE)</f>
        <v>0</v>
      </c>
      <c r="AL18" s="113">
        <f>VLOOKUP($A18,Alimentos!$A:$BA,38,FALSE)</f>
        <v>0</v>
      </c>
      <c r="AM18" s="113">
        <f>VLOOKUP($A18,Alimentos!$A:$BA,39,FALSE)</f>
        <v>0</v>
      </c>
      <c r="AN18" s="113">
        <f>VLOOKUP($A18,Alimentos!$A:$BA,40,FALSE)</f>
        <v>0</v>
      </c>
      <c r="AO18" s="113">
        <f>VLOOKUP($A18,Alimentos!$A:$BA,41,FALSE)</f>
        <v>0</v>
      </c>
      <c r="AP18" s="113">
        <f>VLOOKUP($A18,Alimentos!$A:$BA,42,FALSE)</f>
        <v>0</v>
      </c>
      <c r="AQ18" s="113">
        <f>VLOOKUP($A18,Alimentos!$A:$BA,43,FALSE)</f>
        <v>0</v>
      </c>
      <c r="AR18" s="113">
        <f>VLOOKUP($A18,Alimentos!$A:$BA,44,FALSE)</f>
        <v>0</v>
      </c>
      <c r="AS18" s="113">
        <f>VLOOKUP($A18,Alimentos!$A:$BA,45,FALSE)</f>
        <v>0</v>
      </c>
      <c r="AT18" s="218">
        <f>VLOOKUP($A18,Alimentos!$A:$BA,46,FALSE)</f>
        <v>0</v>
      </c>
      <c r="AU18" s="218">
        <f>VLOOKUP($A18,Alimentos!$A:$BA,47,FALSE)</f>
        <v>0</v>
      </c>
      <c r="AV18" s="218">
        <f>VLOOKUP($A18,Alimentos!$A:$BA,48,FALSE)</f>
        <v>0</v>
      </c>
      <c r="AW18" s="218">
        <f>VLOOKUP($A18,Alimentos!$A:$BA,49,FALSE)</f>
        <v>0</v>
      </c>
      <c r="AX18" s="218">
        <f>VLOOKUP($A18,Alimentos!$A:$BA,50,FALSE)</f>
        <v>0</v>
      </c>
      <c r="AY18" s="113">
        <f>VLOOKUP($A18,Alimentos!$A:$BA,51,FALSE)</f>
        <v>0</v>
      </c>
      <c r="AZ18" s="113">
        <f>VLOOKUP($A18,Alimentos!$A:$BA,52,FALSE)</f>
        <v>0</v>
      </c>
      <c r="BA18" s="113">
        <f>VLOOKUP($A18,Alimentos!$A:$BA,53,FALSE)</f>
        <v>0</v>
      </c>
      <c r="BB18" s="113">
        <f>VLOOKUP($A18,Alimentos!$A:$BC,54,FALSE)</f>
        <v>0</v>
      </c>
      <c r="BC18" s="113">
        <f>VLOOKUP($A18,Alimentos!$A:$BC,55,FALSE)</f>
        <v>0</v>
      </c>
    </row>
    <row r="19" spans="1:55" x14ac:dyDescent="0.25">
      <c r="A19" s="108" t="s">
        <v>60</v>
      </c>
      <c r="B19" s="109">
        <f>VLOOKUP($A19,Alimentos!$A:$BA,2,FALSE)</f>
        <v>0</v>
      </c>
      <c r="C19" s="114">
        <f>VLOOKUP($A19,Alimentos!$A:$BA,4,FALSE)</f>
        <v>0</v>
      </c>
      <c r="E19" s="111">
        <f>VLOOKUP($A19,Alimentos!$A:$BA,5,FALSE)</f>
        <v>0</v>
      </c>
      <c r="F19" s="111">
        <f>VLOOKUP($A19,Alimentos!$A:$BA,6,FALSE)</f>
        <v>0</v>
      </c>
      <c r="G19" s="111">
        <f>VLOOKUP($A19,Alimentos!$A:$BA,7,FALSE)</f>
        <v>0</v>
      </c>
      <c r="H19" s="111">
        <f>VLOOKUP($A19,Alimentos!$A:$BA,8,FALSE)</f>
        <v>0</v>
      </c>
      <c r="I19" s="111">
        <f>VLOOKUP($A19,Alimentos!$A:$BA,9,FALSE)</f>
        <v>0</v>
      </c>
      <c r="J19" s="111">
        <f>VLOOKUP($A19,Alimentos!$A:$BA,10,FALSE)</f>
        <v>0</v>
      </c>
      <c r="K19" s="111">
        <f>VLOOKUP($A19,Alimentos!$A:$BA,11,FALSE)</f>
        <v>0</v>
      </c>
      <c r="L19" s="111">
        <f>VLOOKUP($A19,Alimentos!$A:$BA,12,FALSE)</f>
        <v>0</v>
      </c>
      <c r="M19" s="111">
        <f>VLOOKUP($A19,Alimentos!$A:$BA,13,FALSE)</f>
        <v>0</v>
      </c>
      <c r="N19" s="111">
        <f>VLOOKUP($A19,Alimentos!$A:$BA,14,FALSE)</f>
        <v>0</v>
      </c>
      <c r="O19" s="90">
        <f>VLOOKUP($A19,Alimentos!$A:$BA,15,FALSE)</f>
        <v>0</v>
      </c>
      <c r="P19" s="111">
        <f>VLOOKUP($A19,Alimentos!$A:$BA,16,FALSE)</f>
        <v>0</v>
      </c>
      <c r="Q19" s="111">
        <f>VLOOKUP($A19,Alimentos!$A:$BA,17,FALSE)</f>
        <v>0</v>
      </c>
      <c r="R19" s="111">
        <f>VLOOKUP($A19,Alimentos!$A:$BA,18,FALSE)</f>
        <v>0</v>
      </c>
      <c r="S19" s="111">
        <f>VLOOKUP($A19,Alimentos!$A:$BA,19,FALSE)</f>
        <v>0</v>
      </c>
      <c r="T19" s="111">
        <f>VLOOKUP($A19,Alimentos!$A:$BA,20,FALSE)</f>
        <v>0</v>
      </c>
      <c r="U19" s="111">
        <f>VLOOKUP($A19,Alimentos!$A:$BA,21,FALSE)</f>
        <v>0</v>
      </c>
      <c r="V19" s="111">
        <f>VLOOKUP($A19,Alimentos!$A:$BA,22,FALSE)</f>
        <v>0</v>
      </c>
      <c r="W19" s="112">
        <f>VLOOKUP($A19,Alimentos!$A:$BA,23,FALSE)</f>
        <v>0</v>
      </c>
      <c r="X19" s="112">
        <f>VLOOKUP($A19,Alimentos!$A:$BA,24,FALSE)</f>
        <v>0</v>
      </c>
      <c r="Y19" s="112">
        <f>VLOOKUP($A19,Alimentos!$A:$BA,25,FALSE)</f>
        <v>0</v>
      </c>
      <c r="Z19" s="112">
        <f>VLOOKUP($A19,Alimentos!$A:$BA,26,FALSE)</f>
        <v>0</v>
      </c>
      <c r="AA19" s="112">
        <f>VLOOKUP($A19,Alimentos!$A:$BA,27,FALSE)</f>
        <v>0</v>
      </c>
      <c r="AB19" s="112">
        <f>VLOOKUP($A19,Alimentos!$A:$BA,28,FALSE)</f>
        <v>0</v>
      </c>
      <c r="AC19" s="112">
        <f>VLOOKUP($A19,Alimentos!$A:$BA,29,FALSE)</f>
        <v>0</v>
      </c>
      <c r="AD19" s="112">
        <f>VLOOKUP($A19,Alimentos!$A:$BA,30,FALSE)</f>
        <v>0</v>
      </c>
      <c r="AE19" s="112">
        <f>VLOOKUP($A19,Alimentos!$A:$BA,31,FALSE)</f>
        <v>0</v>
      </c>
      <c r="AF19" s="113">
        <f>VLOOKUP($A19,Alimentos!$A:$BA,32,FALSE)</f>
        <v>0</v>
      </c>
      <c r="AG19" s="113">
        <f>VLOOKUP($A19,Alimentos!$A:$BA,33,FALSE)</f>
        <v>0</v>
      </c>
      <c r="AH19" s="113">
        <f>VLOOKUP($A19,Alimentos!$A:$BA,34,FALSE)</f>
        <v>0</v>
      </c>
      <c r="AI19" s="113">
        <f>VLOOKUP($A19,Alimentos!$A:$BA,35,FALSE)</f>
        <v>0</v>
      </c>
      <c r="AJ19" s="113">
        <f>VLOOKUP($A19,Alimentos!$A:$BA,36,FALSE)</f>
        <v>0</v>
      </c>
      <c r="AK19" s="113">
        <f>VLOOKUP($A19,Alimentos!$A:$BA,37,FALSE)</f>
        <v>0</v>
      </c>
      <c r="AL19" s="113">
        <f>VLOOKUP($A19,Alimentos!$A:$BA,38,FALSE)</f>
        <v>0</v>
      </c>
      <c r="AM19" s="113">
        <f>VLOOKUP($A19,Alimentos!$A:$BA,39,FALSE)</f>
        <v>0</v>
      </c>
      <c r="AN19" s="113">
        <f>VLOOKUP($A19,Alimentos!$A:$BA,40,FALSE)</f>
        <v>0</v>
      </c>
      <c r="AO19" s="113">
        <f>VLOOKUP($A19,Alimentos!$A:$BA,41,FALSE)</f>
        <v>0</v>
      </c>
      <c r="AP19" s="113">
        <f>VLOOKUP($A19,Alimentos!$A:$BA,42,FALSE)</f>
        <v>0</v>
      </c>
      <c r="AQ19" s="113">
        <f>VLOOKUP($A19,Alimentos!$A:$BA,43,FALSE)</f>
        <v>0</v>
      </c>
      <c r="AR19" s="113">
        <f>VLOOKUP($A19,Alimentos!$A:$BA,44,FALSE)</f>
        <v>0</v>
      </c>
      <c r="AS19" s="113">
        <f>VLOOKUP($A19,Alimentos!$A:$BA,45,FALSE)</f>
        <v>0</v>
      </c>
      <c r="AT19" s="218">
        <f>VLOOKUP($A19,Alimentos!$A:$BA,46,FALSE)</f>
        <v>0</v>
      </c>
      <c r="AU19" s="218">
        <f>VLOOKUP($A19,Alimentos!$A:$BA,47,FALSE)</f>
        <v>0</v>
      </c>
      <c r="AV19" s="218">
        <f>VLOOKUP($A19,Alimentos!$A:$BA,48,FALSE)</f>
        <v>0</v>
      </c>
      <c r="AW19" s="218">
        <f>VLOOKUP($A19,Alimentos!$A:$BA,49,FALSE)</f>
        <v>0</v>
      </c>
      <c r="AX19" s="218">
        <f>VLOOKUP($A19,Alimentos!$A:$BA,50,FALSE)</f>
        <v>0</v>
      </c>
      <c r="AY19" s="113">
        <f>VLOOKUP($A19,Alimentos!$A:$BA,51,FALSE)</f>
        <v>0</v>
      </c>
      <c r="AZ19" s="113">
        <f>VLOOKUP($A19,Alimentos!$A:$BA,52,FALSE)</f>
        <v>0</v>
      </c>
      <c r="BA19" s="113">
        <f>VLOOKUP($A19,Alimentos!$A:$BA,53,FALSE)</f>
        <v>0</v>
      </c>
      <c r="BB19" s="113">
        <f>VLOOKUP($A19,Alimentos!$A:$BC,54,FALSE)</f>
        <v>0</v>
      </c>
      <c r="BC19" s="113">
        <f>VLOOKUP($A19,Alimentos!$A:$BC,55,FALSE)</f>
        <v>0</v>
      </c>
    </row>
    <row r="20" spans="1:55" x14ac:dyDescent="0.25">
      <c r="A20" s="108" t="s">
        <v>60</v>
      </c>
      <c r="B20" s="109">
        <f>VLOOKUP($A20,Alimentos!$A:$BA,2,FALSE)</f>
        <v>0</v>
      </c>
      <c r="C20" s="114">
        <f>VLOOKUP($A20,Alimentos!$A:$BA,4,FALSE)</f>
        <v>0</v>
      </c>
      <c r="E20" s="111">
        <f>VLOOKUP($A20,Alimentos!$A:$BA,5,FALSE)</f>
        <v>0</v>
      </c>
      <c r="F20" s="111">
        <f>VLOOKUP($A20,Alimentos!$A:$BA,6,FALSE)</f>
        <v>0</v>
      </c>
      <c r="G20" s="111">
        <f>VLOOKUP($A20,Alimentos!$A:$BA,7,FALSE)</f>
        <v>0</v>
      </c>
      <c r="H20" s="111">
        <f>VLOOKUP($A20,Alimentos!$A:$BA,8,FALSE)</f>
        <v>0</v>
      </c>
      <c r="I20" s="111">
        <f>VLOOKUP($A20,Alimentos!$A:$BA,9,FALSE)</f>
        <v>0</v>
      </c>
      <c r="J20" s="111">
        <f>VLOOKUP($A20,Alimentos!$A:$BA,10,FALSE)</f>
        <v>0</v>
      </c>
      <c r="K20" s="111">
        <f>VLOOKUP($A20,Alimentos!$A:$BA,11,FALSE)</f>
        <v>0</v>
      </c>
      <c r="L20" s="111">
        <f>VLOOKUP($A20,Alimentos!$A:$BA,12,FALSE)</f>
        <v>0</v>
      </c>
      <c r="M20" s="111">
        <f>VLOOKUP($A20,Alimentos!$A:$BA,13,FALSE)</f>
        <v>0</v>
      </c>
      <c r="N20" s="111">
        <f>VLOOKUP($A20,Alimentos!$A:$BA,14,FALSE)</f>
        <v>0</v>
      </c>
      <c r="O20" s="90">
        <f>VLOOKUP($A20,Alimentos!$A:$BA,15,FALSE)</f>
        <v>0</v>
      </c>
      <c r="P20" s="111">
        <f>VLOOKUP($A20,Alimentos!$A:$BA,16,FALSE)</f>
        <v>0</v>
      </c>
      <c r="Q20" s="111">
        <f>VLOOKUP($A20,Alimentos!$A:$BA,17,FALSE)</f>
        <v>0</v>
      </c>
      <c r="R20" s="111">
        <f>VLOOKUP($A20,Alimentos!$A:$BA,18,FALSE)</f>
        <v>0</v>
      </c>
      <c r="S20" s="111">
        <f>VLOOKUP($A20,Alimentos!$A:$BA,19,FALSE)</f>
        <v>0</v>
      </c>
      <c r="T20" s="111">
        <f>VLOOKUP($A20,Alimentos!$A:$BA,20,FALSE)</f>
        <v>0</v>
      </c>
      <c r="U20" s="111">
        <f>VLOOKUP($A20,Alimentos!$A:$BA,21,FALSE)</f>
        <v>0</v>
      </c>
      <c r="V20" s="111">
        <f>VLOOKUP($A20,Alimentos!$A:$BA,22,FALSE)</f>
        <v>0</v>
      </c>
      <c r="W20" s="112">
        <f>VLOOKUP($A20,Alimentos!$A:$BA,23,FALSE)</f>
        <v>0</v>
      </c>
      <c r="X20" s="112">
        <f>VLOOKUP($A20,Alimentos!$A:$BA,24,FALSE)</f>
        <v>0</v>
      </c>
      <c r="Y20" s="112">
        <f>VLOOKUP($A20,Alimentos!$A:$BA,25,FALSE)</f>
        <v>0</v>
      </c>
      <c r="Z20" s="112">
        <f>VLOOKUP($A20,Alimentos!$A:$BA,26,FALSE)</f>
        <v>0</v>
      </c>
      <c r="AA20" s="112">
        <f>VLOOKUP($A20,Alimentos!$A:$BA,27,FALSE)</f>
        <v>0</v>
      </c>
      <c r="AB20" s="112">
        <f>VLOOKUP($A20,Alimentos!$A:$BA,28,FALSE)</f>
        <v>0</v>
      </c>
      <c r="AC20" s="112">
        <f>VLOOKUP($A20,Alimentos!$A:$BA,29,FALSE)</f>
        <v>0</v>
      </c>
      <c r="AD20" s="112">
        <f>VLOOKUP($A20,Alimentos!$A:$BA,30,FALSE)</f>
        <v>0</v>
      </c>
      <c r="AE20" s="112">
        <f>VLOOKUP($A20,Alimentos!$A:$BA,31,FALSE)</f>
        <v>0</v>
      </c>
      <c r="AF20" s="113">
        <f>VLOOKUP($A20,Alimentos!$A:$BA,32,FALSE)</f>
        <v>0</v>
      </c>
      <c r="AG20" s="113">
        <f>VLOOKUP($A20,Alimentos!$A:$BA,33,FALSE)</f>
        <v>0</v>
      </c>
      <c r="AH20" s="113">
        <f>VLOOKUP($A20,Alimentos!$A:$BA,34,FALSE)</f>
        <v>0</v>
      </c>
      <c r="AI20" s="113">
        <f>VLOOKUP($A20,Alimentos!$A:$BA,35,FALSE)</f>
        <v>0</v>
      </c>
      <c r="AJ20" s="113">
        <f>VLOOKUP($A20,Alimentos!$A:$BA,36,FALSE)</f>
        <v>0</v>
      </c>
      <c r="AK20" s="113">
        <f>VLOOKUP($A20,Alimentos!$A:$BA,37,FALSE)</f>
        <v>0</v>
      </c>
      <c r="AL20" s="113">
        <f>VLOOKUP($A20,Alimentos!$A:$BA,38,FALSE)</f>
        <v>0</v>
      </c>
      <c r="AM20" s="113">
        <f>VLOOKUP($A20,Alimentos!$A:$BA,39,FALSE)</f>
        <v>0</v>
      </c>
      <c r="AN20" s="113">
        <f>VLOOKUP($A20,Alimentos!$A:$BA,40,FALSE)</f>
        <v>0</v>
      </c>
      <c r="AO20" s="113">
        <f>VLOOKUP($A20,Alimentos!$A:$BA,41,FALSE)</f>
        <v>0</v>
      </c>
      <c r="AP20" s="113">
        <f>VLOOKUP($A20,Alimentos!$A:$BA,42,FALSE)</f>
        <v>0</v>
      </c>
      <c r="AQ20" s="113">
        <f>VLOOKUP($A20,Alimentos!$A:$BA,43,FALSE)</f>
        <v>0</v>
      </c>
      <c r="AR20" s="113">
        <f>VLOOKUP($A20,Alimentos!$A:$BA,44,FALSE)</f>
        <v>0</v>
      </c>
      <c r="AS20" s="113">
        <f>VLOOKUP($A20,Alimentos!$A:$BA,45,FALSE)</f>
        <v>0</v>
      </c>
      <c r="AT20" s="218">
        <f>VLOOKUP($A20,Alimentos!$A:$BA,46,FALSE)</f>
        <v>0</v>
      </c>
      <c r="AU20" s="218">
        <f>VLOOKUP($A20,Alimentos!$A:$BA,47,FALSE)</f>
        <v>0</v>
      </c>
      <c r="AV20" s="218">
        <f>VLOOKUP($A20,Alimentos!$A:$BA,48,FALSE)</f>
        <v>0</v>
      </c>
      <c r="AW20" s="218">
        <f>VLOOKUP($A20,Alimentos!$A:$BA,49,FALSE)</f>
        <v>0</v>
      </c>
      <c r="AX20" s="218">
        <f>VLOOKUP($A20,Alimentos!$A:$BA,50,FALSE)</f>
        <v>0</v>
      </c>
      <c r="AY20" s="113">
        <f>VLOOKUP($A20,Alimentos!$A:$BA,51,FALSE)</f>
        <v>0</v>
      </c>
      <c r="AZ20" s="113">
        <f>VLOOKUP($A20,Alimentos!$A:$BA,52,FALSE)</f>
        <v>0</v>
      </c>
      <c r="BA20" s="113">
        <f>VLOOKUP($A20,Alimentos!$A:$BA,53,FALSE)</f>
        <v>0</v>
      </c>
      <c r="BB20" s="113">
        <f>VLOOKUP($A20,Alimentos!$A:$BC,54,FALSE)</f>
        <v>0</v>
      </c>
      <c r="BC20" s="113">
        <f>VLOOKUP($A20,Alimentos!$A:$BC,55,FALSE)</f>
        <v>0</v>
      </c>
    </row>
    <row r="21" spans="1:55" ht="17.25" thickBot="1" x14ac:dyDescent="0.3">
      <c r="A21" s="116" t="s">
        <v>60</v>
      </c>
      <c r="B21" s="117">
        <f>VLOOKUP($A21,Alimentos!$A:$BA,2,FALSE)</f>
        <v>0</v>
      </c>
      <c r="C21" s="118">
        <f>VLOOKUP($A21,Alimentos!$A:$BA,4,FALSE)</f>
        <v>0</v>
      </c>
      <c r="D21" s="119"/>
      <c r="E21" s="120">
        <f>VLOOKUP($A21,Alimentos!$A:$BA,5,FALSE)</f>
        <v>0</v>
      </c>
      <c r="F21" s="120">
        <f>VLOOKUP($A21,Alimentos!$A:$BA,6,FALSE)</f>
        <v>0</v>
      </c>
      <c r="G21" s="120">
        <f>VLOOKUP($A21,Alimentos!$A:$BA,7,FALSE)</f>
        <v>0</v>
      </c>
      <c r="H21" s="120">
        <f>VLOOKUP($A21,Alimentos!$A:$BA,8,FALSE)</f>
        <v>0</v>
      </c>
      <c r="I21" s="120">
        <f>VLOOKUP($A21,Alimentos!$A:$BA,9,FALSE)</f>
        <v>0</v>
      </c>
      <c r="J21" s="120">
        <f>VLOOKUP($A21,Alimentos!$A:$BA,10,FALSE)</f>
        <v>0</v>
      </c>
      <c r="K21" s="120">
        <f>VLOOKUP($A21,Alimentos!$A:$BA,11,FALSE)</f>
        <v>0</v>
      </c>
      <c r="L21" s="120">
        <f>VLOOKUP($A21,Alimentos!$A:$BA,12,FALSE)</f>
        <v>0</v>
      </c>
      <c r="M21" s="120">
        <f>VLOOKUP($A21,Alimentos!$A:$BA,13,FALSE)</f>
        <v>0</v>
      </c>
      <c r="N21" s="120">
        <f>VLOOKUP($A21,Alimentos!$A:$BA,14,FALSE)</f>
        <v>0</v>
      </c>
      <c r="O21" s="121">
        <f>VLOOKUP($A21,Alimentos!$A:$BA,15,FALSE)</f>
        <v>0</v>
      </c>
      <c r="P21" s="120">
        <f>VLOOKUP($A21,Alimentos!$A:$BA,16,FALSE)</f>
        <v>0</v>
      </c>
      <c r="Q21" s="120">
        <f>VLOOKUP($A21,Alimentos!$A:$BA,17,FALSE)</f>
        <v>0</v>
      </c>
      <c r="R21" s="120">
        <f>VLOOKUP($A21,Alimentos!$A:$BA,18,FALSE)</f>
        <v>0</v>
      </c>
      <c r="S21" s="120">
        <f>VLOOKUP($A21,Alimentos!$A:$BA,19,FALSE)</f>
        <v>0</v>
      </c>
      <c r="T21" s="120">
        <f>VLOOKUP($A21,Alimentos!$A:$BA,20,FALSE)</f>
        <v>0</v>
      </c>
      <c r="U21" s="120">
        <f>VLOOKUP($A21,Alimentos!$A:$BA,21,FALSE)</f>
        <v>0</v>
      </c>
      <c r="V21" s="120">
        <f>VLOOKUP($A21,Alimentos!$A:$BA,22,FALSE)</f>
        <v>0</v>
      </c>
      <c r="W21" s="122">
        <f>VLOOKUP($A21,Alimentos!$A:$BA,23,FALSE)</f>
        <v>0</v>
      </c>
      <c r="X21" s="122">
        <f>VLOOKUP($A21,Alimentos!$A:$BA,24,FALSE)</f>
        <v>0</v>
      </c>
      <c r="Y21" s="122">
        <f>VLOOKUP($A21,Alimentos!$A:$BA,25,FALSE)</f>
        <v>0</v>
      </c>
      <c r="Z21" s="122">
        <f>VLOOKUP($A21,Alimentos!$A:$BA,26,FALSE)</f>
        <v>0</v>
      </c>
      <c r="AA21" s="122">
        <f>VLOOKUP($A21,Alimentos!$A:$BA,27,FALSE)</f>
        <v>0</v>
      </c>
      <c r="AB21" s="122">
        <f>VLOOKUP($A21,Alimentos!$A:$BA,28,FALSE)</f>
        <v>0</v>
      </c>
      <c r="AC21" s="122">
        <f>VLOOKUP($A21,Alimentos!$A:$BA,29,FALSE)</f>
        <v>0</v>
      </c>
      <c r="AD21" s="122">
        <f>VLOOKUP($A21,Alimentos!$A:$BA,30,FALSE)</f>
        <v>0</v>
      </c>
      <c r="AE21" s="122">
        <f>VLOOKUP($A21,Alimentos!$A:$BA,31,FALSE)</f>
        <v>0</v>
      </c>
      <c r="AF21" s="123">
        <f>VLOOKUP($A21,Alimentos!$A:$BA,32,FALSE)</f>
        <v>0</v>
      </c>
      <c r="AG21" s="123">
        <f>VLOOKUP($A21,Alimentos!$A:$BA,33,FALSE)</f>
        <v>0</v>
      </c>
      <c r="AH21" s="123">
        <f>VLOOKUP($A21,Alimentos!$A:$BA,34,FALSE)</f>
        <v>0</v>
      </c>
      <c r="AI21" s="123">
        <f>VLOOKUP($A21,Alimentos!$A:$BA,35,FALSE)</f>
        <v>0</v>
      </c>
      <c r="AJ21" s="123">
        <f>VLOOKUP($A21,Alimentos!$A:$BA,36,FALSE)</f>
        <v>0</v>
      </c>
      <c r="AK21" s="123">
        <f>VLOOKUP($A21,Alimentos!$A:$BA,37,FALSE)</f>
        <v>0</v>
      </c>
      <c r="AL21" s="123">
        <f>VLOOKUP($A21,Alimentos!$A:$BA,38,FALSE)</f>
        <v>0</v>
      </c>
      <c r="AM21" s="123">
        <f>VLOOKUP($A21,Alimentos!$A:$BA,39,FALSE)</f>
        <v>0</v>
      </c>
      <c r="AN21" s="123">
        <f>VLOOKUP($A21,Alimentos!$A:$BA,40,FALSE)</f>
        <v>0</v>
      </c>
      <c r="AO21" s="123">
        <f>VLOOKUP($A21,Alimentos!$A:$BA,41,FALSE)</f>
        <v>0</v>
      </c>
      <c r="AP21" s="123">
        <f>VLOOKUP($A21,Alimentos!$A:$BA,42,FALSE)</f>
        <v>0</v>
      </c>
      <c r="AQ21" s="123">
        <f>VLOOKUP($A21,Alimentos!$A:$BA,43,FALSE)</f>
        <v>0</v>
      </c>
      <c r="AR21" s="123">
        <f>VLOOKUP($A21,Alimentos!$A:$BA,44,FALSE)</f>
        <v>0</v>
      </c>
      <c r="AS21" s="123">
        <f>VLOOKUP($A21,Alimentos!$A:$BA,45,FALSE)</f>
        <v>0</v>
      </c>
      <c r="AT21" s="219">
        <f>VLOOKUP($A21,Alimentos!$A:$BA,46,FALSE)</f>
        <v>0</v>
      </c>
      <c r="AU21" s="219">
        <f>VLOOKUP($A21,Alimentos!$A:$BA,47,FALSE)</f>
        <v>0</v>
      </c>
      <c r="AV21" s="219">
        <f>VLOOKUP($A21,Alimentos!$A:$BA,48,FALSE)</f>
        <v>0</v>
      </c>
      <c r="AW21" s="219">
        <f>VLOOKUP($A21,Alimentos!$A:$BA,49,FALSE)</f>
        <v>0</v>
      </c>
      <c r="AX21" s="219">
        <f>VLOOKUP($A21,Alimentos!$A:$BA,50,FALSE)</f>
        <v>0</v>
      </c>
      <c r="AY21" s="123">
        <f>VLOOKUP($A21,Alimentos!$A:$BA,51,FALSE)</f>
        <v>0</v>
      </c>
      <c r="AZ21" s="123">
        <f>VLOOKUP($A21,Alimentos!$A:$BA,52,FALSE)</f>
        <v>0</v>
      </c>
      <c r="BA21" s="123">
        <f>VLOOKUP($A21,Alimentos!$A:$BA,53,FALSE)</f>
        <v>0</v>
      </c>
      <c r="BB21" s="123">
        <f>VLOOKUP($A21,Alimentos!$A:$BC,54,FALSE)</f>
        <v>0</v>
      </c>
      <c r="BC21" s="123">
        <f>VLOOKUP($A21,Alimentos!$A:$BC,55,FALSE)</f>
        <v>0</v>
      </c>
    </row>
    <row r="22" spans="1:55" ht="17.25" thickTop="1" x14ac:dyDescent="0.25">
      <c r="E22" s="82"/>
      <c r="AF22" s="77"/>
      <c r="AG22" s="77"/>
      <c r="AH22" s="77"/>
      <c r="AI22" s="77"/>
    </row>
    <row r="23" spans="1:55" s="98" customFormat="1" x14ac:dyDescent="0.25">
      <c r="A23" s="98" t="s">
        <v>1</v>
      </c>
      <c r="B23" s="85" t="str">
        <f>B4</f>
        <v>R$/Kg MN</v>
      </c>
      <c r="C23" s="85" t="s">
        <v>30</v>
      </c>
      <c r="D23" s="85" t="s">
        <v>3</v>
      </c>
      <c r="E23" s="82" t="s">
        <v>30</v>
      </c>
      <c r="F23" s="85" t="s">
        <v>30</v>
      </c>
      <c r="G23" s="85" t="s">
        <v>30</v>
      </c>
      <c r="H23" s="85" t="s">
        <v>30</v>
      </c>
      <c r="I23" s="85" t="s">
        <v>30</v>
      </c>
      <c r="J23" s="94" t="s">
        <v>30</v>
      </c>
      <c r="K23" s="94" t="s">
        <v>30</v>
      </c>
      <c r="L23" s="94" t="s">
        <v>30</v>
      </c>
      <c r="M23" s="85" t="s">
        <v>30</v>
      </c>
      <c r="N23" s="85" t="s">
        <v>30</v>
      </c>
      <c r="O23" s="94" t="s">
        <v>31</v>
      </c>
      <c r="P23" s="94" t="s">
        <v>30</v>
      </c>
      <c r="Q23" s="94" t="s">
        <v>30</v>
      </c>
      <c r="R23" s="94" t="s">
        <v>30</v>
      </c>
      <c r="S23" s="85" t="s">
        <v>30</v>
      </c>
      <c r="T23" s="85" t="s">
        <v>30</v>
      </c>
      <c r="U23" s="94" t="s">
        <v>30</v>
      </c>
      <c r="V23" s="94" t="s">
        <v>30</v>
      </c>
      <c r="W23" s="85" t="s">
        <v>30</v>
      </c>
      <c r="X23" s="85" t="s">
        <v>30</v>
      </c>
      <c r="Y23" s="85" t="s">
        <v>30</v>
      </c>
      <c r="Z23" s="85" t="s">
        <v>30</v>
      </c>
      <c r="AA23" s="85" t="s">
        <v>30</v>
      </c>
      <c r="AB23" s="85" t="s">
        <v>30</v>
      </c>
      <c r="AC23" s="85" t="s">
        <v>30</v>
      </c>
      <c r="AD23" s="85" t="s">
        <v>30</v>
      </c>
      <c r="AE23" s="85" t="s">
        <v>30</v>
      </c>
      <c r="AF23" s="85" t="s">
        <v>49</v>
      </c>
      <c r="AG23" s="85" t="s">
        <v>49</v>
      </c>
      <c r="AH23" s="85" t="s">
        <v>49</v>
      </c>
      <c r="AI23" s="85" t="s">
        <v>49</v>
      </c>
      <c r="AJ23" s="85" t="s">
        <v>49</v>
      </c>
      <c r="AK23" s="85" t="s">
        <v>49</v>
      </c>
      <c r="AL23" s="85" t="s">
        <v>49</v>
      </c>
      <c r="AM23" s="85" t="s">
        <v>51</v>
      </c>
      <c r="AN23" s="85" t="s">
        <v>51</v>
      </c>
      <c r="AO23" s="85" t="s">
        <v>51</v>
      </c>
      <c r="AP23" s="85" t="s">
        <v>49</v>
      </c>
      <c r="AQ23" s="85" t="s">
        <v>49</v>
      </c>
      <c r="AR23" s="85" t="s">
        <v>49</v>
      </c>
      <c r="AS23" s="85" t="s">
        <v>173</v>
      </c>
      <c r="AT23" s="97" t="s">
        <v>228</v>
      </c>
      <c r="AU23" s="97" t="s">
        <v>230</v>
      </c>
      <c r="AV23" s="97" t="s">
        <v>231</v>
      </c>
      <c r="AW23" s="97" t="s">
        <v>227</v>
      </c>
      <c r="AX23" s="97" t="s">
        <v>232</v>
      </c>
      <c r="AY23" s="97" t="s">
        <v>234</v>
      </c>
      <c r="AZ23" s="97" t="s">
        <v>235</v>
      </c>
      <c r="BA23" s="97" t="s">
        <v>236</v>
      </c>
      <c r="BB23" s="173" t="s">
        <v>247</v>
      </c>
      <c r="BC23" s="173" t="s">
        <v>248</v>
      </c>
    </row>
    <row r="24" spans="1:55" s="98" customFormat="1" ht="17.25" thickBot="1" x14ac:dyDescent="0.3">
      <c r="A24" s="98" t="s">
        <v>5</v>
      </c>
      <c r="B24" s="85" t="s">
        <v>6</v>
      </c>
      <c r="C24" s="85" t="s">
        <v>66</v>
      </c>
      <c r="D24" s="85" t="s">
        <v>7</v>
      </c>
      <c r="E24" s="82" t="s">
        <v>7</v>
      </c>
      <c r="F24" s="85" t="s">
        <v>8</v>
      </c>
      <c r="G24" s="85" t="s">
        <v>9</v>
      </c>
      <c r="H24" s="95" t="s">
        <v>67</v>
      </c>
      <c r="I24" s="85" t="s">
        <v>10</v>
      </c>
      <c r="J24" s="94" t="s">
        <v>11</v>
      </c>
      <c r="K24" s="94" t="s">
        <v>112</v>
      </c>
      <c r="L24" s="94" t="s">
        <v>113</v>
      </c>
      <c r="M24" s="85" t="s">
        <v>12</v>
      </c>
      <c r="N24" s="85" t="s">
        <v>13</v>
      </c>
      <c r="O24" s="95" t="s">
        <v>14</v>
      </c>
      <c r="P24" s="94" t="s">
        <v>15</v>
      </c>
      <c r="Q24" s="94" t="s">
        <v>115</v>
      </c>
      <c r="R24" s="94" t="s">
        <v>114</v>
      </c>
      <c r="S24" s="93" t="s">
        <v>17</v>
      </c>
      <c r="T24" s="93" t="s">
        <v>18</v>
      </c>
      <c r="U24" s="94" t="s">
        <v>99</v>
      </c>
      <c r="V24" s="94" t="s">
        <v>102</v>
      </c>
      <c r="W24" s="96" t="s">
        <v>19</v>
      </c>
      <c r="X24" s="96" t="s">
        <v>20</v>
      </c>
      <c r="Y24" s="96" t="s">
        <v>21</v>
      </c>
      <c r="Z24" s="96" t="s">
        <v>22</v>
      </c>
      <c r="AA24" s="96" t="s">
        <v>23</v>
      </c>
      <c r="AB24" s="96" t="s">
        <v>24</v>
      </c>
      <c r="AC24" s="96" t="s">
        <v>25</v>
      </c>
      <c r="AD24" s="96" t="s">
        <v>26</v>
      </c>
      <c r="AE24" s="96" t="s">
        <v>27</v>
      </c>
      <c r="AF24" s="97" t="s">
        <v>37</v>
      </c>
      <c r="AG24" s="97" t="s">
        <v>38</v>
      </c>
      <c r="AH24" s="97" t="s">
        <v>41</v>
      </c>
      <c r="AI24" s="97" t="s">
        <v>43</v>
      </c>
      <c r="AJ24" s="97" t="s">
        <v>42</v>
      </c>
      <c r="AK24" s="97" t="s">
        <v>40</v>
      </c>
      <c r="AL24" s="97" t="s">
        <v>39</v>
      </c>
      <c r="AM24" s="97" t="s">
        <v>44</v>
      </c>
      <c r="AN24" s="97" t="s">
        <v>45</v>
      </c>
      <c r="AO24" s="97" t="s">
        <v>46</v>
      </c>
      <c r="AP24" s="97" t="s">
        <v>47</v>
      </c>
      <c r="AQ24" s="97" t="s">
        <v>48</v>
      </c>
      <c r="AR24" s="97" t="s">
        <v>170</v>
      </c>
      <c r="AS24" s="97" t="s">
        <v>171</v>
      </c>
      <c r="AT24" s="97" t="s">
        <v>229</v>
      </c>
      <c r="AU24" s="97" t="s">
        <v>229</v>
      </c>
      <c r="AV24" s="97" t="s">
        <v>229</v>
      </c>
      <c r="AW24" s="97" t="s">
        <v>100</v>
      </c>
      <c r="AX24" s="97" t="s">
        <v>233</v>
      </c>
      <c r="AY24" s="97" t="s">
        <v>233</v>
      </c>
      <c r="AZ24" s="97" t="s">
        <v>233</v>
      </c>
      <c r="BA24" s="97" t="s">
        <v>233</v>
      </c>
      <c r="BB24" s="173" t="s">
        <v>229</v>
      </c>
      <c r="BC24" s="173" t="s">
        <v>229</v>
      </c>
    </row>
    <row r="25" spans="1:55" ht="17.25" thickTop="1" x14ac:dyDescent="0.25">
      <c r="A25" s="124" t="str">
        <f>A6</f>
        <v>x</v>
      </c>
      <c r="B25" s="90">
        <f t="shared" ref="B25:B40" si="0">C25*B6</f>
        <v>0</v>
      </c>
      <c r="C25" s="125"/>
      <c r="D25" s="111" t="e">
        <f t="shared" ref="D25:D40" si="1">E25/E$42</f>
        <v>#DIV/0!</v>
      </c>
      <c r="E25" s="90">
        <f t="shared" ref="E25:E40" si="2">C25*E6</f>
        <v>0</v>
      </c>
      <c r="F25" s="109">
        <f t="shared" ref="F25:Q40" si="3">$E25*F6</f>
        <v>0</v>
      </c>
      <c r="G25" s="109">
        <f t="shared" si="3"/>
        <v>0</v>
      </c>
      <c r="H25" s="109">
        <f t="shared" si="3"/>
        <v>0</v>
      </c>
      <c r="I25" s="109">
        <f t="shared" si="3"/>
        <v>0</v>
      </c>
      <c r="J25" s="109">
        <f t="shared" si="3"/>
        <v>0</v>
      </c>
      <c r="K25" s="109">
        <f>IF(AT25="S",((((I6*K6*100)*0.9465)+4.5798)/100)*E25,IF(AT25="F",I6*K6*E25,0))</f>
        <v>0</v>
      </c>
      <c r="L25" s="109">
        <f>IF(AT25="S",((((I6*L6*100)*1.0083)+0.4502)/100)*E25,IF(AT25="F",I6*L6*E25,0))</f>
        <v>0</v>
      </c>
      <c r="M25" s="109">
        <f t="shared" ref="M25:U40" si="4">$E25*M6</f>
        <v>0</v>
      </c>
      <c r="N25" s="109">
        <f t="shared" si="4"/>
        <v>0</v>
      </c>
      <c r="O25" s="90">
        <f t="shared" si="4"/>
        <v>0</v>
      </c>
      <c r="P25" s="109">
        <f t="shared" si="4"/>
        <v>0</v>
      </c>
      <c r="Q25" s="109">
        <f t="shared" si="4"/>
        <v>0</v>
      </c>
      <c r="R25" s="109">
        <f t="shared" si="4"/>
        <v>0</v>
      </c>
      <c r="S25" s="109">
        <f t="shared" si="4"/>
        <v>0</v>
      </c>
      <c r="T25" s="109">
        <f t="shared" si="4"/>
        <v>0</v>
      </c>
      <c r="U25" s="109">
        <f t="shared" si="4"/>
        <v>0</v>
      </c>
      <c r="V25" s="109">
        <f>V6</f>
        <v>0</v>
      </c>
      <c r="W25" s="109">
        <f t="shared" ref="W25:AS36" si="5">$E25*W6</f>
        <v>0</v>
      </c>
      <c r="X25" s="109">
        <f t="shared" si="5"/>
        <v>0</v>
      </c>
      <c r="Y25" s="109">
        <f t="shared" si="5"/>
        <v>0</v>
      </c>
      <c r="Z25" s="109">
        <f t="shared" si="5"/>
        <v>0</v>
      </c>
      <c r="AA25" s="109">
        <f t="shared" si="5"/>
        <v>0</v>
      </c>
      <c r="AB25" s="109">
        <f t="shared" si="5"/>
        <v>0</v>
      </c>
      <c r="AC25" s="109">
        <f t="shared" si="5"/>
        <v>0</v>
      </c>
      <c r="AD25" s="109">
        <f t="shared" si="5"/>
        <v>0</v>
      </c>
      <c r="AE25" s="109">
        <f t="shared" si="5"/>
        <v>0</v>
      </c>
      <c r="AF25" s="126">
        <f t="shared" si="5"/>
        <v>0</v>
      </c>
      <c r="AG25" s="126">
        <f t="shared" si="5"/>
        <v>0</v>
      </c>
      <c r="AH25" s="126">
        <f t="shared" si="5"/>
        <v>0</v>
      </c>
      <c r="AI25" s="126">
        <f t="shared" si="5"/>
        <v>0</v>
      </c>
      <c r="AJ25" s="126">
        <f t="shared" si="5"/>
        <v>0</v>
      </c>
      <c r="AK25" s="126">
        <f t="shared" si="5"/>
        <v>0</v>
      </c>
      <c r="AL25" s="126">
        <f t="shared" si="5"/>
        <v>0</v>
      </c>
      <c r="AM25" s="126">
        <f t="shared" si="5"/>
        <v>0</v>
      </c>
      <c r="AN25" s="126">
        <f t="shared" si="5"/>
        <v>0</v>
      </c>
      <c r="AO25" s="126">
        <f t="shared" si="5"/>
        <v>0</v>
      </c>
      <c r="AP25" s="126">
        <f t="shared" si="5"/>
        <v>0</v>
      </c>
      <c r="AQ25" s="126">
        <f t="shared" si="5"/>
        <v>0</v>
      </c>
      <c r="AR25" s="126">
        <f t="shared" si="5"/>
        <v>0</v>
      </c>
      <c r="AS25" s="126">
        <f t="shared" si="5"/>
        <v>0</v>
      </c>
      <c r="AT25" s="220">
        <f>AT6*$F25</f>
        <v>0</v>
      </c>
      <c r="AU25" s="220">
        <f t="shared" ref="AU25:AV25" si="6">AU6*$F25</f>
        <v>0</v>
      </c>
      <c r="AV25" s="220">
        <f t="shared" si="6"/>
        <v>0</v>
      </c>
      <c r="AW25" s="220">
        <f t="shared" ref="AW25:BC40" si="7">AW6</f>
        <v>0</v>
      </c>
      <c r="AX25" s="220">
        <f t="shared" si="7"/>
        <v>0</v>
      </c>
      <c r="AY25" s="220">
        <f t="shared" si="7"/>
        <v>0</v>
      </c>
      <c r="AZ25" s="220">
        <f t="shared" si="7"/>
        <v>0</v>
      </c>
      <c r="BA25" s="220">
        <f t="shared" si="7"/>
        <v>0</v>
      </c>
      <c r="BB25" s="220">
        <f t="shared" si="7"/>
        <v>0</v>
      </c>
      <c r="BC25" s="220">
        <f t="shared" si="7"/>
        <v>0</v>
      </c>
    </row>
    <row r="26" spans="1:55" x14ac:dyDescent="0.25">
      <c r="A26" s="124" t="str">
        <f>A7</f>
        <v>x</v>
      </c>
      <c r="B26" s="90">
        <f t="shared" si="0"/>
        <v>0</v>
      </c>
      <c r="C26" s="127"/>
      <c r="D26" s="111" t="e">
        <f t="shared" si="1"/>
        <v>#DIV/0!</v>
      </c>
      <c r="E26" s="90">
        <f t="shared" si="2"/>
        <v>0</v>
      </c>
      <c r="F26" s="109">
        <f t="shared" si="3"/>
        <v>0</v>
      </c>
      <c r="G26" s="109">
        <f t="shared" si="3"/>
        <v>0</v>
      </c>
      <c r="H26" s="109">
        <f t="shared" si="3"/>
        <v>0</v>
      </c>
      <c r="I26" s="109">
        <f t="shared" si="3"/>
        <v>0</v>
      </c>
      <c r="J26" s="109">
        <f t="shared" si="3"/>
        <v>0</v>
      </c>
      <c r="K26" s="109">
        <f t="shared" ref="K26:K40" si="8">IF(AT26="S",((((I7*K7*100)*0.9465)+4.5798)/100)*E26,IF(AT26="F",I7*K7*E26,0))</f>
        <v>0</v>
      </c>
      <c r="L26" s="109">
        <f t="shared" ref="L26:L40" si="9">IF(AT26="S",((((I7*L7*100)*1.0083)+0.4502)/100)*E26,IF(AT26="F",I7*L7*E26,0))</f>
        <v>0</v>
      </c>
      <c r="M26" s="109">
        <f t="shared" si="4"/>
        <v>0</v>
      </c>
      <c r="N26" s="109">
        <f t="shared" si="4"/>
        <v>0</v>
      </c>
      <c r="O26" s="90">
        <f t="shared" si="4"/>
        <v>0</v>
      </c>
      <c r="P26" s="109">
        <f t="shared" si="4"/>
        <v>0</v>
      </c>
      <c r="Q26" s="109">
        <f t="shared" si="4"/>
        <v>0</v>
      </c>
      <c r="R26" s="109">
        <f t="shared" si="4"/>
        <v>0</v>
      </c>
      <c r="S26" s="109">
        <f t="shared" si="4"/>
        <v>0</v>
      </c>
      <c r="T26" s="109">
        <f t="shared" si="4"/>
        <v>0</v>
      </c>
      <c r="U26" s="109">
        <f t="shared" si="4"/>
        <v>0</v>
      </c>
      <c r="V26" s="109">
        <f t="shared" ref="V26:V40" si="10">V7</f>
        <v>0</v>
      </c>
      <c r="W26" s="109">
        <f t="shared" si="5"/>
        <v>0</v>
      </c>
      <c r="X26" s="109">
        <f t="shared" si="5"/>
        <v>0</v>
      </c>
      <c r="Y26" s="109">
        <f t="shared" si="5"/>
        <v>0</v>
      </c>
      <c r="Z26" s="109">
        <f t="shared" si="5"/>
        <v>0</v>
      </c>
      <c r="AA26" s="109">
        <f t="shared" si="5"/>
        <v>0</v>
      </c>
      <c r="AB26" s="109">
        <f t="shared" si="5"/>
        <v>0</v>
      </c>
      <c r="AC26" s="109">
        <f t="shared" si="5"/>
        <v>0</v>
      </c>
      <c r="AD26" s="109">
        <f t="shared" si="5"/>
        <v>0</v>
      </c>
      <c r="AE26" s="109">
        <f t="shared" si="5"/>
        <v>0</v>
      </c>
      <c r="AF26" s="126">
        <f t="shared" si="5"/>
        <v>0</v>
      </c>
      <c r="AG26" s="126">
        <f t="shared" si="5"/>
        <v>0</v>
      </c>
      <c r="AH26" s="126">
        <f t="shared" si="5"/>
        <v>0</v>
      </c>
      <c r="AI26" s="126">
        <f t="shared" si="5"/>
        <v>0</v>
      </c>
      <c r="AJ26" s="126">
        <f t="shared" si="5"/>
        <v>0</v>
      </c>
      <c r="AK26" s="126">
        <f t="shared" si="5"/>
        <v>0</v>
      </c>
      <c r="AL26" s="126">
        <f t="shared" si="5"/>
        <v>0</v>
      </c>
      <c r="AM26" s="126">
        <f t="shared" si="5"/>
        <v>0</v>
      </c>
      <c r="AN26" s="126">
        <f t="shared" si="5"/>
        <v>0</v>
      </c>
      <c r="AO26" s="126">
        <f t="shared" si="5"/>
        <v>0</v>
      </c>
      <c r="AP26" s="126">
        <f t="shared" si="5"/>
        <v>0</v>
      </c>
      <c r="AQ26" s="126">
        <f t="shared" si="5"/>
        <v>0</v>
      </c>
      <c r="AR26" s="126">
        <f t="shared" si="5"/>
        <v>0</v>
      </c>
      <c r="AS26" s="126">
        <f t="shared" si="5"/>
        <v>0</v>
      </c>
      <c r="AT26" s="220">
        <f t="shared" ref="AT26:AV40" si="11">AT7*$F26</f>
        <v>0</v>
      </c>
      <c r="AU26" s="220">
        <f t="shared" si="11"/>
        <v>0</v>
      </c>
      <c r="AV26" s="220">
        <f t="shared" si="11"/>
        <v>0</v>
      </c>
      <c r="AW26" s="220">
        <f t="shared" si="7"/>
        <v>0</v>
      </c>
      <c r="AX26" s="220">
        <f t="shared" si="7"/>
        <v>0</v>
      </c>
      <c r="AY26" s="220">
        <f t="shared" si="7"/>
        <v>0</v>
      </c>
      <c r="AZ26" s="220">
        <f t="shared" si="7"/>
        <v>0</v>
      </c>
      <c r="BA26" s="220">
        <f t="shared" si="7"/>
        <v>0</v>
      </c>
      <c r="BB26" s="220">
        <f t="shared" si="7"/>
        <v>0</v>
      </c>
      <c r="BC26" s="220">
        <f t="shared" si="7"/>
        <v>0</v>
      </c>
    </row>
    <row r="27" spans="1:55" x14ac:dyDescent="0.25">
      <c r="A27" s="124" t="str">
        <f>A8</f>
        <v>x</v>
      </c>
      <c r="B27" s="90">
        <f t="shared" si="0"/>
        <v>0</v>
      </c>
      <c r="C27" s="127"/>
      <c r="D27" s="111" t="e">
        <f t="shared" si="1"/>
        <v>#DIV/0!</v>
      </c>
      <c r="E27" s="90">
        <f t="shared" si="2"/>
        <v>0</v>
      </c>
      <c r="F27" s="109">
        <f t="shared" si="3"/>
        <v>0</v>
      </c>
      <c r="G27" s="109">
        <f t="shared" si="3"/>
        <v>0</v>
      </c>
      <c r="H27" s="109">
        <f t="shared" si="3"/>
        <v>0</v>
      </c>
      <c r="I27" s="109">
        <f t="shared" si="3"/>
        <v>0</v>
      </c>
      <c r="J27" s="109">
        <f t="shared" si="3"/>
        <v>0</v>
      </c>
      <c r="K27" s="109">
        <f t="shared" si="8"/>
        <v>0</v>
      </c>
      <c r="L27" s="109">
        <f t="shared" si="9"/>
        <v>0</v>
      </c>
      <c r="M27" s="109">
        <f t="shared" si="4"/>
        <v>0</v>
      </c>
      <c r="N27" s="109">
        <f t="shared" si="4"/>
        <v>0</v>
      </c>
      <c r="O27" s="90">
        <f t="shared" si="4"/>
        <v>0</v>
      </c>
      <c r="P27" s="109">
        <f t="shared" si="4"/>
        <v>0</v>
      </c>
      <c r="Q27" s="109">
        <f t="shared" si="4"/>
        <v>0</v>
      </c>
      <c r="R27" s="109">
        <f t="shared" si="4"/>
        <v>0</v>
      </c>
      <c r="S27" s="109">
        <f t="shared" si="4"/>
        <v>0</v>
      </c>
      <c r="T27" s="109">
        <f t="shared" si="4"/>
        <v>0</v>
      </c>
      <c r="U27" s="109">
        <f t="shared" si="4"/>
        <v>0</v>
      </c>
      <c r="V27" s="109">
        <f t="shared" si="10"/>
        <v>0</v>
      </c>
      <c r="W27" s="109">
        <f t="shared" si="5"/>
        <v>0</v>
      </c>
      <c r="X27" s="109">
        <f t="shared" si="5"/>
        <v>0</v>
      </c>
      <c r="Y27" s="109">
        <f t="shared" si="5"/>
        <v>0</v>
      </c>
      <c r="Z27" s="109">
        <f t="shared" si="5"/>
        <v>0</v>
      </c>
      <c r="AA27" s="109">
        <f t="shared" si="5"/>
        <v>0</v>
      </c>
      <c r="AB27" s="109">
        <f t="shared" si="5"/>
        <v>0</v>
      </c>
      <c r="AC27" s="109">
        <f t="shared" si="5"/>
        <v>0</v>
      </c>
      <c r="AD27" s="109">
        <f t="shared" si="5"/>
        <v>0</v>
      </c>
      <c r="AE27" s="109">
        <f t="shared" si="5"/>
        <v>0</v>
      </c>
      <c r="AF27" s="126">
        <f t="shared" si="5"/>
        <v>0</v>
      </c>
      <c r="AG27" s="126">
        <f t="shared" si="5"/>
        <v>0</v>
      </c>
      <c r="AH27" s="126">
        <f t="shared" si="5"/>
        <v>0</v>
      </c>
      <c r="AI27" s="126">
        <f t="shared" si="5"/>
        <v>0</v>
      </c>
      <c r="AJ27" s="126">
        <f t="shared" si="5"/>
        <v>0</v>
      </c>
      <c r="AK27" s="126">
        <f t="shared" si="5"/>
        <v>0</v>
      </c>
      <c r="AL27" s="126">
        <f t="shared" si="5"/>
        <v>0</v>
      </c>
      <c r="AM27" s="126">
        <f t="shared" si="5"/>
        <v>0</v>
      </c>
      <c r="AN27" s="126">
        <f t="shared" si="5"/>
        <v>0</v>
      </c>
      <c r="AO27" s="126">
        <f t="shared" si="5"/>
        <v>0</v>
      </c>
      <c r="AP27" s="126">
        <f t="shared" si="5"/>
        <v>0</v>
      </c>
      <c r="AQ27" s="126">
        <f t="shared" si="5"/>
        <v>0</v>
      </c>
      <c r="AR27" s="126">
        <f t="shared" si="5"/>
        <v>0</v>
      </c>
      <c r="AS27" s="126">
        <f t="shared" si="5"/>
        <v>0</v>
      </c>
      <c r="AT27" s="220">
        <f t="shared" si="11"/>
        <v>0</v>
      </c>
      <c r="AU27" s="220">
        <f t="shared" si="11"/>
        <v>0</v>
      </c>
      <c r="AV27" s="220">
        <f t="shared" si="11"/>
        <v>0</v>
      </c>
      <c r="AW27" s="220">
        <f t="shared" si="7"/>
        <v>0</v>
      </c>
      <c r="AX27" s="220">
        <f t="shared" si="7"/>
        <v>0</v>
      </c>
      <c r="AY27" s="220">
        <f t="shared" si="7"/>
        <v>0</v>
      </c>
      <c r="AZ27" s="220">
        <f t="shared" si="7"/>
        <v>0</v>
      </c>
      <c r="BA27" s="220">
        <f t="shared" si="7"/>
        <v>0</v>
      </c>
      <c r="BB27" s="220">
        <f t="shared" si="7"/>
        <v>0</v>
      </c>
      <c r="BC27" s="220">
        <f t="shared" si="7"/>
        <v>0</v>
      </c>
    </row>
    <row r="28" spans="1:55" x14ac:dyDescent="0.25">
      <c r="A28" s="124" t="str">
        <f>A9</f>
        <v>x</v>
      </c>
      <c r="B28" s="90">
        <f t="shared" si="0"/>
        <v>0</v>
      </c>
      <c r="C28" s="127"/>
      <c r="D28" s="111" t="e">
        <f t="shared" si="1"/>
        <v>#DIV/0!</v>
      </c>
      <c r="E28" s="90">
        <f t="shared" si="2"/>
        <v>0</v>
      </c>
      <c r="F28" s="109">
        <f t="shared" si="3"/>
        <v>0</v>
      </c>
      <c r="G28" s="109">
        <f t="shared" si="3"/>
        <v>0</v>
      </c>
      <c r="H28" s="109">
        <f t="shared" si="3"/>
        <v>0</v>
      </c>
      <c r="I28" s="109">
        <f t="shared" si="3"/>
        <v>0</v>
      </c>
      <c r="J28" s="109">
        <f t="shared" si="3"/>
        <v>0</v>
      </c>
      <c r="K28" s="109">
        <f t="shared" si="8"/>
        <v>0</v>
      </c>
      <c r="L28" s="109">
        <f t="shared" si="9"/>
        <v>0</v>
      </c>
      <c r="M28" s="109">
        <f t="shared" si="4"/>
        <v>0</v>
      </c>
      <c r="N28" s="109">
        <f t="shared" si="4"/>
        <v>0</v>
      </c>
      <c r="O28" s="90">
        <f t="shared" si="4"/>
        <v>0</v>
      </c>
      <c r="P28" s="109">
        <f t="shared" si="4"/>
        <v>0</v>
      </c>
      <c r="Q28" s="109">
        <f t="shared" si="4"/>
        <v>0</v>
      </c>
      <c r="R28" s="109">
        <f t="shared" si="4"/>
        <v>0</v>
      </c>
      <c r="S28" s="109">
        <f t="shared" si="4"/>
        <v>0</v>
      </c>
      <c r="T28" s="109">
        <f t="shared" si="4"/>
        <v>0</v>
      </c>
      <c r="U28" s="109">
        <f t="shared" si="4"/>
        <v>0</v>
      </c>
      <c r="V28" s="109">
        <f t="shared" si="10"/>
        <v>0</v>
      </c>
      <c r="W28" s="109">
        <f t="shared" si="5"/>
        <v>0</v>
      </c>
      <c r="X28" s="109">
        <f t="shared" si="5"/>
        <v>0</v>
      </c>
      <c r="Y28" s="109">
        <f t="shared" si="5"/>
        <v>0</v>
      </c>
      <c r="Z28" s="109">
        <f t="shared" si="5"/>
        <v>0</v>
      </c>
      <c r="AA28" s="109">
        <f t="shared" si="5"/>
        <v>0</v>
      </c>
      <c r="AB28" s="109">
        <f t="shared" si="5"/>
        <v>0</v>
      </c>
      <c r="AC28" s="109">
        <f t="shared" si="5"/>
        <v>0</v>
      </c>
      <c r="AD28" s="109">
        <f t="shared" si="5"/>
        <v>0</v>
      </c>
      <c r="AE28" s="109">
        <f t="shared" si="5"/>
        <v>0</v>
      </c>
      <c r="AF28" s="126">
        <f t="shared" si="5"/>
        <v>0</v>
      </c>
      <c r="AG28" s="126">
        <f t="shared" si="5"/>
        <v>0</v>
      </c>
      <c r="AH28" s="126">
        <f t="shared" si="5"/>
        <v>0</v>
      </c>
      <c r="AI28" s="126">
        <f t="shared" si="5"/>
        <v>0</v>
      </c>
      <c r="AJ28" s="126">
        <f t="shared" si="5"/>
        <v>0</v>
      </c>
      <c r="AK28" s="126">
        <f t="shared" si="5"/>
        <v>0</v>
      </c>
      <c r="AL28" s="126">
        <f t="shared" si="5"/>
        <v>0</v>
      </c>
      <c r="AM28" s="126">
        <f t="shared" si="5"/>
        <v>0</v>
      </c>
      <c r="AN28" s="126">
        <f t="shared" si="5"/>
        <v>0</v>
      </c>
      <c r="AO28" s="126">
        <f t="shared" si="5"/>
        <v>0</v>
      </c>
      <c r="AP28" s="126">
        <f t="shared" si="5"/>
        <v>0</v>
      </c>
      <c r="AQ28" s="126">
        <f t="shared" si="5"/>
        <v>0</v>
      </c>
      <c r="AR28" s="126">
        <f t="shared" si="5"/>
        <v>0</v>
      </c>
      <c r="AS28" s="126">
        <f t="shared" si="5"/>
        <v>0</v>
      </c>
      <c r="AT28" s="220">
        <f t="shared" si="11"/>
        <v>0</v>
      </c>
      <c r="AU28" s="220">
        <f t="shared" si="11"/>
        <v>0</v>
      </c>
      <c r="AV28" s="220">
        <f t="shared" si="11"/>
        <v>0</v>
      </c>
      <c r="AW28" s="220">
        <f t="shared" si="7"/>
        <v>0</v>
      </c>
      <c r="AX28" s="220">
        <f t="shared" si="7"/>
        <v>0</v>
      </c>
      <c r="AY28" s="220">
        <f t="shared" si="7"/>
        <v>0</v>
      </c>
      <c r="AZ28" s="220">
        <f t="shared" si="7"/>
        <v>0</v>
      </c>
      <c r="BA28" s="220">
        <f t="shared" si="7"/>
        <v>0</v>
      </c>
      <c r="BB28" s="220">
        <f t="shared" si="7"/>
        <v>0</v>
      </c>
      <c r="BC28" s="220">
        <f t="shared" si="7"/>
        <v>0</v>
      </c>
    </row>
    <row r="29" spans="1:55" x14ac:dyDescent="0.25">
      <c r="A29" s="124" t="str">
        <f>A10</f>
        <v>x</v>
      </c>
      <c r="B29" s="90">
        <f t="shared" si="0"/>
        <v>0</v>
      </c>
      <c r="C29" s="127"/>
      <c r="D29" s="111" t="e">
        <f t="shared" si="1"/>
        <v>#DIV/0!</v>
      </c>
      <c r="E29" s="90">
        <f t="shared" si="2"/>
        <v>0</v>
      </c>
      <c r="F29" s="109">
        <f t="shared" si="3"/>
        <v>0</v>
      </c>
      <c r="G29" s="109">
        <f t="shared" si="3"/>
        <v>0</v>
      </c>
      <c r="H29" s="109">
        <f t="shared" si="3"/>
        <v>0</v>
      </c>
      <c r="I29" s="109">
        <f t="shared" si="3"/>
        <v>0</v>
      </c>
      <c r="J29" s="109">
        <f t="shared" si="3"/>
        <v>0</v>
      </c>
      <c r="K29" s="109">
        <f t="shared" si="8"/>
        <v>0</v>
      </c>
      <c r="L29" s="109">
        <f t="shared" si="9"/>
        <v>0</v>
      </c>
      <c r="M29" s="109">
        <f t="shared" si="4"/>
        <v>0</v>
      </c>
      <c r="N29" s="109">
        <f t="shared" si="4"/>
        <v>0</v>
      </c>
      <c r="O29" s="90">
        <f t="shared" si="4"/>
        <v>0</v>
      </c>
      <c r="P29" s="109">
        <f t="shared" si="4"/>
        <v>0</v>
      </c>
      <c r="Q29" s="109">
        <f t="shared" si="4"/>
        <v>0</v>
      </c>
      <c r="R29" s="109">
        <f t="shared" si="4"/>
        <v>0</v>
      </c>
      <c r="S29" s="109">
        <f t="shared" si="4"/>
        <v>0</v>
      </c>
      <c r="T29" s="109">
        <f t="shared" si="4"/>
        <v>0</v>
      </c>
      <c r="U29" s="109">
        <f t="shared" si="4"/>
        <v>0</v>
      </c>
      <c r="V29" s="109">
        <f t="shared" si="10"/>
        <v>0</v>
      </c>
      <c r="W29" s="109">
        <f t="shared" si="5"/>
        <v>0</v>
      </c>
      <c r="X29" s="109">
        <f t="shared" si="5"/>
        <v>0</v>
      </c>
      <c r="Y29" s="109">
        <f t="shared" si="5"/>
        <v>0</v>
      </c>
      <c r="Z29" s="109">
        <f t="shared" si="5"/>
        <v>0</v>
      </c>
      <c r="AA29" s="109">
        <f t="shared" si="5"/>
        <v>0</v>
      </c>
      <c r="AB29" s="109">
        <f t="shared" si="5"/>
        <v>0</v>
      </c>
      <c r="AC29" s="109">
        <f t="shared" si="5"/>
        <v>0</v>
      </c>
      <c r="AD29" s="109">
        <f t="shared" si="5"/>
        <v>0</v>
      </c>
      <c r="AE29" s="109">
        <f t="shared" si="5"/>
        <v>0</v>
      </c>
      <c r="AF29" s="126">
        <f t="shared" si="5"/>
        <v>0</v>
      </c>
      <c r="AG29" s="126">
        <f t="shared" si="5"/>
        <v>0</v>
      </c>
      <c r="AH29" s="126">
        <f t="shared" si="5"/>
        <v>0</v>
      </c>
      <c r="AI29" s="126">
        <f t="shared" si="5"/>
        <v>0</v>
      </c>
      <c r="AJ29" s="126">
        <f t="shared" si="5"/>
        <v>0</v>
      </c>
      <c r="AK29" s="126">
        <f t="shared" si="5"/>
        <v>0</v>
      </c>
      <c r="AL29" s="126">
        <f t="shared" si="5"/>
        <v>0</v>
      </c>
      <c r="AM29" s="126">
        <f t="shared" si="5"/>
        <v>0</v>
      </c>
      <c r="AN29" s="126">
        <f t="shared" si="5"/>
        <v>0</v>
      </c>
      <c r="AO29" s="126">
        <f t="shared" si="5"/>
        <v>0</v>
      </c>
      <c r="AP29" s="126">
        <f t="shared" si="5"/>
        <v>0</v>
      </c>
      <c r="AQ29" s="126">
        <f t="shared" si="5"/>
        <v>0</v>
      </c>
      <c r="AR29" s="126">
        <f t="shared" si="5"/>
        <v>0</v>
      </c>
      <c r="AS29" s="126">
        <f t="shared" si="5"/>
        <v>0</v>
      </c>
      <c r="AT29" s="220">
        <f t="shared" si="11"/>
        <v>0</v>
      </c>
      <c r="AU29" s="220">
        <f t="shared" si="11"/>
        <v>0</v>
      </c>
      <c r="AV29" s="220">
        <f t="shared" si="11"/>
        <v>0</v>
      </c>
      <c r="AW29" s="220">
        <f t="shared" si="7"/>
        <v>0</v>
      </c>
      <c r="AX29" s="220">
        <f t="shared" si="7"/>
        <v>0</v>
      </c>
      <c r="AY29" s="220">
        <f t="shared" si="7"/>
        <v>0</v>
      </c>
      <c r="AZ29" s="220">
        <f t="shared" si="7"/>
        <v>0</v>
      </c>
      <c r="BA29" s="220">
        <f t="shared" si="7"/>
        <v>0</v>
      </c>
      <c r="BB29" s="220">
        <f t="shared" si="7"/>
        <v>0</v>
      </c>
      <c r="BC29" s="220">
        <f t="shared" si="7"/>
        <v>0</v>
      </c>
    </row>
    <row r="30" spans="1:55" x14ac:dyDescent="0.25">
      <c r="A30" s="124" t="str">
        <f t="shared" ref="A30:A40" si="12">A11</f>
        <v>x</v>
      </c>
      <c r="B30" s="90">
        <f t="shared" si="0"/>
        <v>0</v>
      </c>
      <c r="C30" s="127"/>
      <c r="D30" s="111" t="e">
        <f t="shared" si="1"/>
        <v>#DIV/0!</v>
      </c>
      <c r="E30" s="90">
        <f t="shared" si="2"/>
        <v>0</v>
      </c>
      <c r="F30" s="109">
        <f t="shared" si="3"/>
        <v>0</v>
      </c>
      <c r="G30" s="109">
        <f t="shared" si="3"/>
        <v>0</v>
      </c>
      <c r="H30" s="109">
        <f t="shared" si="3"/>
        <v>0</v>
      </c>
      <c r="I30" s="109">
        <f t="shared" si="3"/>
        <v>0</v>
      </c>
      <c r="J30" s="109">
        <f t="shared" si="3"/>
        <v>0</v>
      </c>
      <c r="K30" s="109">
        <f t="shared" si="8"/>
        <v>0</v>
      </c>
      <c r="L30" s="109">
        <f t="shared" si="9"/>
        <v>0</v>
      </c>
      <c r="M30" s="109">
        <f t="shared" si="4"/>
        <v>0</v>
      </c>
      <c r="N30" s="109">
        <f t="shared" si="4"/>
        <v>0</v>
      </c>
      <c r="O30" s="90">
        <f t="shared" si="4"/>
        <v>0</v>
      </c>
      <c r="P30" s="109">
        <f t="shared" si="4"/>
        <v>0</v>
      </c>
      <c r="Q30" s="109">
        <f t="shared" si="4"/>
        <v>0</v>
      </c>
      <c r="R30" s="109">
        <f t="shared" si="4"/>
        <v>0</v>
      </c>
      <c r="S30" s="109">
        <f t="shared" si="4"/>
        <v>0</v>
      </c>
      <c r="T30" s="109">
        <f t="shared" si="4"/>
        <v>0</v>
      </c>
      <c r="U30" s="109">
        <f t="shared" si="4"/>
        <v>0</v>
      </c>
      <c r="V30" s="109">
        <f t="shared" si="10"/>
        <v>0</v>
      </c>
      <c r="W30" s="109">
        <f t="shared" si="5"/>
        <v>0</v>
      </c>
      <c r="X30" s="109">
        <f t="shared" si="5"/>
        <v>0</v>
      </c>
      <c r="Y30" s="109">
        <f t="shared" si="5"/>
        <v>0</v>
      </c>
      <c r="Z30" s="109">
        <f t="shared" si="5"/>
        <v>0</v>
      </c>
      <c r="AA30" s="109">
        <f t="shared" si="5"/>
        <v>0</v>
      </c>
      <c r="AB30" s="109">
        <f t="shared" si="5"/>
        <v>0</v>
      </c>
      <c r="AC30" s="109">
        <f t="shared" si="5"/>
        <v>0</v>
      </c>
      <c r="AD30" s="109">
        <f t="shared" si="5"/>
        <v>0</v>
      </c>
      <c r="AE30" s="109">
        <f t="shared" si="5"/>
        <v>0</v>
      </c>
      <c r="AF30" s="126">
        <f t="shared" si="5"/>
        <v>0</v>
      </c>
      <c r="AG30" s="126">
        <f t="shared" si="5"/>
        <v>0</v>
      </c>
      <c r="AH30" s="126">
        <f t="shared" si="5"/>
        <v>0</v>
      </c>
      <c r="AI30" s="126">
        <f t="shared" si="5"/>
        <v>0</v>
      </c>
      <c r="AJ30" s="126">
        <f t="shared" si="5"/>
        <v>0</v>
      </c>
      <c r="AK30" s="126">
        <f t="shared" si="5"/>
        <v>0</v>
      </c>
      <c r="AL30" s="126">
        <f t="shared" si="5"/>
        <v>0</v>
      </c>
      <c r="AM30" s="126">
        <f t="shared" si="5"/>
        <v>0</v>
      </c>
      <c r="AN30" s="126">
        <f t="shared" si="5"/>
        <v>0</v>
      </c>
      <c r="AO30" s="126">
        <f t="shared" si="5"/>
        <v>0</v>
      </c>
      <c r="AP30" s="126">
        <f t="shared" si="5"/>
        <v>0</v>
      </c>
      <c r="AQ30" s="126">
        <f t="shared" si="5"/>
        <v>0</v>
      </c>
      <c r="AR30" s="126">
        <f t="shared" si="5"/>
        <v>0</v>
      </c>
      <c r="AS30" s="126">
        <f t="shared" si="5"/>
        <v>0</v>
      </c>
      <c r="AT30" s="220">
        <f t="shared" si="11"/>
        <v>0</v>
      </c>
      <c r="AU30" s="220">
        <f t="shared" si="11"/>
        <v>0</v>
      </c>
      <c r="AV30" s="220">
        <f t="shared" si="11"/>
        <v>0</v>
      </c>
      <c r="AW30" s="220">
        <f t="shared" si="7"/>
        <v>0</v>
      </c>
      <c r="AX30" s="220">
        <f t="shared" si="7"/>
        <v>0</v>
      </c>
      <c r="AY30" s="220">
        <f t="shared" si="7"/>
        <v>0</v>
      </c>
      <c r="AZ30" s="220">
        <f t="shared" si="7"/>
        <v>0</v>
      </c>
      <c r="BA30" s="220">
        <f t="shared" si="7"/>
        <v>0</v>
      </c>
      <c r="BB30" s="220">
        <f t="shared" si="7"/>
        <v>0</v>
      </c>
      <c r="BC30" s="220">
        <f t="shared" si="7"/>
        <v>0</v>
      </c>
    </row>
    <row r="31" spans="1:55" x14ac:dyDescent="0.25">
      <c r="A31" s="124" t="str">
        <f t="shared" si="12"/>
        <v>x</v>
      </c>
      <c r="B31" s="90">
        <f t="shared" si="0"/>
        <v>0</v>
      </c>
      <c r="C31" s="127"/>
      <c r="D31" s="111" t="e">
        <f t="shared" si="1"/>
        <v>#DIV/0!</v>
      </c>
      <c r="E31" s="90">
        <f t="shared" si="2"/>
        <v>0</v>
      </c>
      <c r="F31" s="109">
        <f t="shared" si="3"/>
        <v>0</v>
      </c>
      <c r="G31" s="109">
        <f t="shared" si="3"/>
        <v>0</v>
      </c>
      <c r="H31" s="109">
        <f t="shared" si="3"/>
        <v>0</v>
      </c>
      <c r="I31" s="109">
        <f t="shared" si="3"/>
        <v>0</v>
      </c>
      <c r="J31" s="109">
        <f t="shared" si="3"/>
        <v>0</v>
      </c>
      <c r="K31" s="109">
        <f t="shared" si="8"/>
        <v>0</v>
      </c>
      <c r="L31" s="109">
        <f t="shared" si="9"/>
        <v>0</v>
      </c>
      <c r="M31" s="109">
        <f t="shared" si="4"/>
        <v>0</v>
      </c>
      <c r="N31" s="109">
        <f t="shared" si="4"/>
        <v>0</v>
      </c>
      <c r="O31" s="90">
        <f t="shared" si="4"/>
        <v>0</v>
      </c>
      <c r="P31" s="109">
        <f t="shared" si="4"/>
        <v>0</v>
      </c>
      <c r="Q31" s="109">
        <f t="shared" si="4"/>
        <v>0</v>
      </c>
      <c r="R31" s="109">
        <f t="shared" si="4"/>
        <v>0</v>
      </c>
      <c r="S31" s="109">
        <f t="shared" si="4"/>
        <v>0</v>
      </c>
      <c r="T31" s="109">
        <f t="shared" si="4"/>
        <v>0</v>
      </c>
      <c r="U31" s="109">
        <f t="shared" si="4"/>
        <v>0</v>
      </c>
      <c r="V31" s="109">
        <f t="shared" si="10"/>
        <v>0</v>
      </c>
      <c r="W31" s="109">
        <f t="shared" si="5"/>
        <v>0</v>
      </c>
      <c r="X31" s="109">
        <f t="shared" si="5"/>
        <v>0</v>
      </c>
      <c r="Y31" s="109">
        <f t="shared" si="5"/>
        <v>0</v>
      </c>
      <c r="Z31" s="109">
        <f t="shared" si="5"/>
        <v>0</v>
      </c>
      <c r="AA31" s="109">
        <f t="shared" si="5"/>
        <v>0</v>
      </c>
      <c r="AB31" s="109">
        <f t="shared" si="5"/>
        <v>0</v>
      </c>
      <c r="AC31" s="109">
        <f t="shared" si="5"/>
        <v>0</v>
      </c>
      <c r="AD31" s="109">
        <f t="shared" si="5"/>
        <v>0</v>
      </c>
      <c r="AE31" s="109">
        <f t="shared" si="5"/>
        <v>0</v>
      </c>
      <c r="AF31" s="126">
        <f t="shared" si="5"/>
        <v>0</v>
      </c>
      <c r="AG31" s="126">
        <f t="shared" si="5"/>
        <v>0</v>
      </c>
      <c r="AH31" s="126">
        <f t="shared" si="5"/>
        <v>0</v>
      </c>
      <c r="AI31" s="126">
        <f t="shared" si="5"/>
        <v>0</v>
      </c>
      <c r="AJ31" s="126">
        <f t="shared" si="5"/>
        <v>0</v>
      </c>
      <c r="AK31" s="126">
        <f t="shared" si="5"/>
        <v>0</v>
      </c>
      <c r="AL31" s="126">
        <f t="shared" si="5"/>
        <v>0</v>
      </c>
      <c r="AM31" s="126">
        <f t="shared" si="5"/>
        <v>0</v>
      </c>
      <c r="AN31" s="126">
        <f t="shared" si="5"/>
        <v>0</v>
      </c>
      <c r="AO31" s="126">
        <f t="shared" si="5"/>
        <v>0</v>
      </c>
      <c r="AP31" s="126">
        <f t="shared" si="5"/>
        <v>0</v>
      </c>
      <c r="AQ31" s="126">
        <f t="shared" si="5"/>
        <v>0</v>
      </c>
      <c r="AR31" s="126">
        <f t="shared" si="5"/>
        <v>0</v>
      </c>
      <c r="AS31" s="126">
        <f t="shared" si="5"/>
        <v>0</v>
      </c>
      <c r="AT31" s="220">
        <f t="shared" si="11"/>
        <v>0</v>
      </c>
      <c r="AU31" s="220">
        <f t="shared" si="11"/>
        <v>0</v>
      </c>
      <c r="AV31" s="220">
        <f t="shared" si="11"/>
        <v>0</v>
      </c>
      <c r="AW31" s="220">
        <f t="shared" si="7"/>
        <v>0</v>
      </c>
      <c r="AX31" s="220">
        <f t="shared" si="7"/>
        <v>0</v>
      </c>
      <c r="AY31" s="220">
        <f t="shared" si="7"/>
        <v>0</v>
      </c>
      <c r="AZ31" s="220">
        <f t="shared" si="7"/>
        <v>0</v>
      </c>
      <c r="BA31" s="220">
        <f t="shared" si="7"/>
        <v>0</v>
      </c>
      <c r="BB31" s="220">
        <f t="shared" si="7"/>
        <v>0</v>
      </c>
      <c r="BC31" s="220">
        <f t="shared" si="7"/>
        <v>0</v>
      </c>
    </row>
    <row r="32" spans="1:55" x14ac:dyDescent="0.25">
      <c r="A32" s="124" t="str">
        <f t="shared" si="12"/>
        <v>x</v>
      </c>
      <c r="B32" s="90">
        <f t="shared" si="0"/>
        <v>0</v>
      </c>
      <c r="C32" s="127"/>
      <c r="D32" s="111" t="e">
        <f t="shared" si="1"/>
        <v>#DIV/0!</v>
      </c>
      <c r="E32" s="90">
        <f t="shared" si="2"/>
        <v>0</v>
      </c>
      <c r="F32" s="109">
        <f t="shared" si="3"/>
        <v>0</v>
      </c>
      <c r="G32" s="109">
        <f t="shared" si="3"/>
        <v>0</v>
      </c>
      <c r="H32" s="109">
        <f t="shared" si="3"/>
        <v>0</v>
      </c>
      <c r="I32" s="109">
        <f t="shared" si="3"/>
        <v>0</v>
      </c>
      <c r="J32" s="109">
        <f t="shared" si="3"/>
        <v>0</v>
      </c>
      <c r="K32" s="109">
        <f t="shared" si="8"/>
        <v>0</v>
      </c>
      <c r="L32" s="109">
        <f t="shared" si="9"/>
        <v>0</v>
      </c>
      <c r="M32" s="109">
        <f t="shared" si="4"/>
        <v>0</v>
      </c>
      <c r="N32" s="109">
        <f t="shared" si="4"/>
        <v>0</v>
      </c>
      <c r="O32" s="90">
        <f t="shared" si="4"/>
        <v>0</v>
      </c>
      <c r="P32" s="109">
        <f t="shared" si="4"/>
        <v>0</v>
      </c>
      <c r="Q32" s="109">
        <f t="shared" si="4"/>
        <v>0</v>
      </c>
      <c r="R32" s="109">
        <f t="shared" si="4"/>
        <v>0</v>
      </c>
      <c r="S32" s="109">
        <f t="shared" si="4"/>
        <v>0</v>
      </c>
      <c r="T32" s="109">
        <f t="shared" si="4"/>
        <v>0</v>
      </c>
      <c r="U32" s="109">
        <f t="shared" si="4"/>
        <v>0</v>
      </c>
      <c r="V32" s="109">
        <f t="shared" si="10"/>
        <v>0</v>
      </c>
      <c r="W32" s="109">
        <f t="shared" si="5"/>
        <v>0</v>
      </c>
      <c r="X32" s="109">
        <f t="shared" si="5"/>
        <v>0</v>
      </c>
      <c r="Y32" s="109">
        <f t="shared" si="5"/>
        <v>0</v>
      </c>
      <c r="Z32" s="109">
        <f t="shared" si="5"/>
        <v>0</v>
      </c>
      <c r="AA32" s="109">
        <f t="shared" si="5"/>
        <v>0</v>
      </c>
      <c r="AB32" s="109">
        <f t="shared" si="5"/>
        <v>0</v>
      </c>
      <c r="AC32" s="109">
        <f t="shared" si="5"/>
        <v>0</v>
      </c>
      <c r="AD32" s="109">
        <f t="shared" si="5"/>
        <v>0</v>
      </c>
      <c r="AE32" s="109">
        <f t="shared" si="5"/>
        <v>0</v>
      </c>
      <c r="AF32" s="126">
        <f t="shared" si="5"/>
        <v>0</v>
      </c>
      <c r="AG32" s="126">
        <f t="shared" si="5"/>
        <v>0</v>
      </c>
      <c r="AH32" s="126">
        <f t="shared" si="5"/>
        <v>0</v>
      </c>
      <c r="AI32" s="126">
        <f t="shared" si="5"/>
        <v>0</v>
      </c>
      <c r="AJ32" s="126">
        <f t="shared" si="5"/>
        <v>0</v>
      </c>
      <c r="AK32" s="126">
        <f t="shared" si="5"/>
        <v>0</v>
      </c>
      <c r="AL32" s="126">
        <f t="shared" si="5"/>
        <v>0</v>
      </c>
      <c r="AM32" s="128">
        <f t="shared" si="5"/>
        <v>0</v>
      </c>
      <c r="AN32" s="128">
        <f t="shared" si="5"/>
        <v>0</v>
      </c>
      <c r="AO32" s="128">
        <f t="shared" si="5"/>
        <v>0</v>
      </c>
      <c r="AP32" s="126">
        <f t="shared" si="5"/>
        <v>0</v>
      </c>
      <c r="AQ32" s="126">
        <f t="shared" si="5"/>
        <v>0</v>
      </c>
      <c r="AR32" s="126">
        <f t="shared" si="5"/>
        <v>0</v>
      </c>
      <c r="AS32" s="126">
        <f t="shared" si="5"/>
        <v>0</v>
      </c>
      <c r="AT32" s="220">
        <f t="shared" si="11"/>
        <v>0</v>
      </c>
      <c r="AU32" s="220">
        <f t="shared" si="11"/>
        <v>0</v>
      </c>
      <c r="AV32" s="220">
        <f t="shared" si="11"/>
        <v>0</v>
      </c>
      <c r="AW32" s="220">
        <f t="shared" si="7"/>
        <v>0</v>
      </c>
      <c r="AX32" s="220">
        <f t="shared" si="7"/>
        <v>0</v>
      </c>
      <c r="AY32" s="220">
        <f t="shared" si="7"/>
        <v>0</v>
      </c>
      <c r="AZ32" s="220">
        <f t="shared" si="7"/>
        <v>0</v>
      </c>
      <c r="BA32" s="220">
        <f t="shared" si="7"/>
        <v>0</v>
      </c>
      <c r="BB32" s="220">
        <f t="shared" si="7"/>
        <v>0</v>
      </c>
      <c r="BC32" s="220">
        <f t="shared" si="7"/>
        <v>0</v>
      </c>
    </row>
    <row r="33" spans="1:55" x14ac:dyDescent="0.25">
      <c r="A33" s="124" t="str">
        <f t="shared" si="12"/>
        <v>x</v>
      </c>
      <c r="B33" s="90">
        <f t="shared" si="0"/>
        <v>0</v>
      </c>
      <c r="C33" s="127"/>
      <c r="D33" s="111" t="e">
        <f t="shared" si="1"/>
        <v>#DIV/0!</v>
      </c>
      <c r="E33" s="90">
        <f t="shared" si="2"/>
        <v>0</v>
      </c>
      <c r="F33" s="109">
        <f t="shared" si="3"/>
        <v>0</v>
      </c>
      <c r="G33" s="109">
        <f t="shared" si="3"/>
        <v>0</v>
      </c>
      <c r="H33" s="109">
        <f t="shared" si="3"/>
        <v>0</v>
      </c>
      <c r="I33" s="109">
        <f t="shared" si="3"/>
        <v>0</v>
      </c>
      <c r="J33" s="109">
        <f t="shared" si="3"/>
        <v>0</v>
      </c>
      <c r="K33" s="109">
        <f t="shared" si="8"/>
        <v>0</v>
      </c>
      <c r="L33" s="109">
        <f t="shared" si="9"/>
        <v>0</v>
      </c>
      <c r="M33" s="109">
        <f t="shared" si="3"/>
        <v>0</v>
      </c>
      <c r="N33" s="109">
        <f t="shared" si="3"/>
        <v>0</v>
      </c>
      <c r="O33" s="90">
        <f t="shared" si="3"/>
        <v>0</v>
      </c>
      <c r="P33" s="109">
        <f t="shared" si="3"/>
        <v>0</v>
      </c>
      <c r="Q33" s="109">
        <f t="shared" si="3"/>
        <v>0</v>
      </c>
      <c r="R33" s="109">
        <f t="shared" si="4"/>
        <v>0</v>
      </c>
      <c r="S33" s="109">
        <f t="shared" si="4"/>
        <v>0</v>
      </c>
      <c r="T33" s="109">
        <f t="shared" si="4"/>
        <v>0</v>
      </c>
      <c r="U33" s="109">
        <f t="shared" si="4"/>
        <v>0</v>
      </c>
      <c r="V33" s="109">
        <f t="shared" si="10"/>
        <v>0</v>
      </c>
      <c r="W33" s="109">
        <f t="shared" si="5"/>
        <v>0</v>
      </c>
      <c r="X33" s="109">
        <f t="shared" si="5"/>
        <v>0</v>
      </c>
      <c r="Y33" s="109">
        <f t="shared" si="5"/>
        <v>0</v>
      </c>
      <c r="Z33" s="109">
        <f t="shared" si="5"/>
        <v>0</v>
      </c>
      <c r="AA33" s="109">
        <f t="shared" si="5"/>
        <v>0</v>
      </c>
      <c r="AB33" s="109">
        <f t="shared" si="5"/>
        <v>0</v>
      </c>
      <c r="AC33" s="109">
        <f t="shared" si="5"/>
        <v>0</v>
      </c>
      <c r="AD33" s="109">
        <f t="shared" si="5"/>
        <v>0</v>
      </c>
      <c r="AE33" s="109">
        <f t="shared" si="5"/>
        <v>0</v>
      </c>
      <c r="AF33" s="126">
        <f t="shared" si="5"/>
        <v>0</v>
      </c>
      <c r="AG33" s="126">
        <f t="shared" si="5"/>
        <v>0</v>
      </c>
      <c r="AH33" s="126">
        <f t="shared" si="5"/>
        <v>0</v>
      </c>
      <c r="AI33" s="126">
        <f t="shared" si="5"/>
        <v>0</v>
      </c>
      <c r="AJ33" s="126">
        <f t="shared" si="5"/>
        <v>0</v>
      </c>
      <c r="AK33" s="126">
        <f t="shared" si="5"/>
        <v>0</v>
      </c>
      <c r="AL33" s="126">
        <f t="shared" si="5"/>
        <v>0</v>
      </c>
      <c r="AM33" s="126">
        <f t="shared" si="5"/>
        <v>0</v>
      </c>
      <c r="AN33" s="126">
        <f t="shared" si="5"/>
        <v>0</v>
      </c>
      <c r="AO33" s="126">
        <f t="shared" si="5"/>
        <v>0</v>
      </c>
      <c r="AP33" s="126">
        <f t="shared" si="5"/>
        <v>0</v>
      </c>
      <c r="AQ33" s="126">
        <f t="shared" si="5"/>
        <v>0</v>
      </c>
      <c r="AR33" s="126">
        <f t="shared" si="5"/>
        <v>0</v>
      </c>
      <c r="AS33" s="126">
        <f t="shared" si="5"/>
        <v>0</v>
      </c>
      <c r="AT33" s="220">
        <f t="shared" si="11"/>
        <v>0</v>
      </c>
      <c r="AU33" s="220">
        <f t="shared" si="11"/>
        <v>0</v>
      </c>
      <c r="AV33" s="220">
        <f t="shared" si="11"/>
        <v>0</v>
      </c>
      <c r="AW33" s="220">
        <f t="shared" si="7"/>
        <v>0</v>
      </c>
      <c r="AX33" s="220">
        <f t="shared" si="7"/>
        <v>0</v>
      </c>
      <c r="AY33" s="220">
        <f t="shared" si="7"/>
        <v>0</v>
      </c>
      <c r="AZ33" s="220">
        <f t="shared" si="7"/>
        <v>0</v>
      </c>
      <c r="BA33" s="220">
        <f t="shared" si="7"/>
        <v>0</v>
      </c>
      <c r="BB33" s="220">
        <f t="shared" si="7"/>
        <v>0</v>
      </c>
      <c r="BC33" s="220">
        <f t="shared" si="7"/>
        <v>0</v>
      </c>
    </row>
    <row r="34" spans="1:55" x14ac:dyDescent="0.25">
      <c r="A34" s="124" t="str">
        <f t="shared" si="12"/>
        <v>x</v>
      </c>
      <c r="B34" s="90">
        <f t="shared" si="0"/>
        <v>0</v>
      </c>
      <c r="C34" s="127"/>
      <c r="D34" s="111" t="e">
        <f t="shared" si="1"/>
        <v>#DIV/0!</v>
      </c>
      <c r="E34" s="90">
        <f t="shared" si="2"/>
        <v>0</v>
      </c>
      <c r="F34" s="109">
        <f t="shared" si="3"/>
        <v>0</v>
      </c>
      <c r="G34" s="109">
        <f t="shared" si="3"/>
        <v>0</v>
      </c>
      <c r="H34" s="109">
        <f t="shared" si="3"/>
        <v>0</v>
      </c>
      <c r="I34" s="109">
        <f t="shared" si="3"/>
        <v>0</v>
      </c>
      <c r="J34" s="109">
        <f t="shared" si="3"/>
        <v>0</v>
      </c>
      <c r="K34" s="109">
        <f t="shared" si="8"/>
        <v>0</v>
      </c>
      <c r="L34" s="109">
        <f t="shared" si="9"/>
        <v>0</v>
      </c>
      <c r="M34" s="109">
        <f t="shared" si="3"/>
        <v>0</v>
      </c>
      <c r="N34" s="109">
        <f t="shared" si="3"/>
        <v>0</v>
      </c>
      <c r="O34" s="90">
        <f t="shared" si="3"/>
        <v>0</v>
      </c>
      <c r="P34" s="109">
        <f t="shared" si="3"/>
        <v>0</v>
      </c>
      <c r="Q34" s="109">
        <f t="shared" si="3"/>
        <v>0</v>
      </c>
      <c r="R34" s="109">
        <f t="shared" si="4"/>
        <v>0</v>
      </c>
      <c r="S34" s="109">
        <f t="shared" si="4"/>
        <v>0</v>
      </c>
      <c r="T34" s="109">
        <f t="shared" si="4"/>
        <v>0</v>
      </c>
      <c r="U34" s="109">
        <f t="shared" si="4"/>
        <v>0</v>
      </c>
      <c r="V34" s="109">
        <f t="shared" si="10"/>
        <v>0</v>
      </c>
      <c r="W34" s="109">
        <f t="shared" si="5"/>
        <v>0</v>
      </c>
      <c r="X34" s="109">
        <f t="shared" si="5"/>
        <v>0</v>
      </c>
      <c r="Y34" s="109">
        <f t="shared" si="5"/>
        <v>0</v>
      </c>
      <c r="Z34" s="109">
        <f t="shared" si="5"/>
        <v>0</v>
      </c>
      <c r="AA34" s="109">
        <f t="shared" si="5"/>
        <v>0</v>
      </c>
      <c r="AB34" s="109">
        <f t="shared" si="5"/>
        <v>0</v>
      </c>
      <c r="AC34" s="109">
        <f t="shared" si="5"/>
        <v>0</v>
      </c>
      <c r="AD34" s="109">
        <f t="shared" si="5"/>
        <v>0</v>
      </c>
      <c r="AE34" s="109">
        <f t="shared" si="5"/>
        <v>0</v>
      </c>
      <c r="AF34" s="126">
        <f t="shared" si="5"/>
        <v>0</v>
      </c>
      <c r="AG34" s="126">
        <f t="shared" si="5"/>
        <v>0</v>
      </c>
      <c r="AH34" s="126">
        <f t="shared" si="5"/>
        <v>0</v>
      </c>
      <c r="AI34" s="126">
        <f t="shared" si="5"/>
        <v>0</v>
      </c>
      <c r="AJ34" s="126">
        <f t="shared" si="5"/>
        <v>0</v>
      </c>
      <c r="AK34" s="126">
        <f t="shared" si="5"/>
        <v>0</v>
      </c>
      <c r="AL34" s="126">
        <f t="shared" si="5"/>
        <v>0</v>
      </c>
      <c r="AM34" s="126">
        <f t="shared" si="5"/>
        <v>0</v>
      </c>
      <c r="AN34" s="126">
        <f t="shared" si="5"/>
        <v>0</v>
      </c>
      <c r="AO34" s="126">
        <f t="shared" si="5"/>
        <v>0</v>
      </c>
      <c r="AP34" s="126">
        <f t="shared" si="5"/>
        <v>0</v>
      </c>
      <c r="AQ34" s="126">
        <f t="shared" si="5"/>
        <v>0</v>
      </c>
      <c r="AR34" s="126">
        <f t="shared" si="5"/>
        <v>0</v>
      </c>
      <c r="AS34" s="126">
        <f t="shared" si="5"/>
        <v>0</v>
      </c>
      <c r="AT34" s="220">
        <f t="shared" si="11"/>
        <v>0</v>
      </c>
      <c r="AU34" s="220">
        <f t="shared" si="11"/>
        <v>0</v>
      </c>
      <c r="AV34" s="220">
        <f t="shared" si="11"/>
        <v>0</v>
      </c>
      <c r="AW34" s="220">
        <f t="shared" si="7"/>
        <v>0</v>
      </c>
      <c r="AX34" s="220">
        <f t="shared" si="7"/>
        <v>0</v>
      </c>
      <c r="AY34" s="220">
        <f t="shared" si="7"/>
        <v>0</v>
      </c>
      <c r="AZ34" s="220">
        <f t="shared" si="7"/>
        <v>0</v>
      </c>
      <c r="BA34" s="220">
        <f t="shared" si="7"/>
        <v>0</v>
      </c>
      <c r="BB34" s="220">
        <f t="shared" si="7"/>
        <v>0</v>
      </c>
      <c r="BC34" s="220">
        <f t="shared" si="7"/>
        <v>0</v>
      </c>
    </row>
    <row r="35" spans="1:55" x14ac:dyDescent="0.25">
      <c r="A35" s="124" t="str">
        <f t="shared" si="12"/>
        <v>x</v>
      </c>
      <c r="B35" s="90">
        <f t="shared" si="0"/>
        <v>0</v>
      </c>
      <c r="C35" s="127"/>
      <c r="D35" s="111" t="e">
        <f t="shared" si="1"/>
        <v>#DIV/0!</v>
      </c>
      <c r="E35" s="90">
        <f t="shared" si="2"/>
        <v>0</v>
      </c>
      <c r="F35" s="109">
        <f t="shared" si="3"/>
        <v>0</v>
      </c>
      <c r="G35" s="109">
        <f t="shared" si="3"/>
        <v>0</v>
      </c>
      <c r="H35" s="109">
        <f t="shared" si="3"/>
        <v>0</v>
      </c>
      <c r="I35" s="109">
        <f t="shared" si="3"/>
        <v>0</v>
      </c>
      <c r="J35" s="109">
        <f t="shared" si="3"/>
        <v>0</v>
      </c>
      <c r="K35" s="109">
        <f t="shared" si="8"/>
        <v>0</v>
      </c>
      <c r="L35" s="109">
        <f t="shared" si="9"/>
        <v>0</v>
      </c>
      <c r="M35" s="109">
        <f t="shared" si="3"/>
        <v>0</v>
      </c>
      <c r="N35" s="109">
        <f t="shared" si="3"/>
        <v>0</v>
      </c>
      <c r="O35" s="90">
        <f t="shared" si="3"/>
        <v>0</v>
      </c>
      <c r="P35" s="109">
        <f t="shared" si="3"/>
        <v>0</v>
      </c>
      <c r="Q35" s="109">
        <f t="shared" si="3"/>
        <v>0</v>
      </c>
      <c r="R35" s="109">
        <f t="shared" si="4"/>
        <v>0</v>
      </c>
      <c r="S35" s="109">
        <f t="shared" si="4"/>
        <v>0</v>
      </c>
      <c r="T35" s="109">
        <f t="shared" si="4"/>
        <v>0</v>
      </c>
      <c r="U35" s="109">
        <f t="shared" si="4"/>
        <v>0</v>
      </c>
      <c r="V35" s="109">
        <f t="shared" si="10"/>
        <v>0</v>
      </c>
      <c r="W35" s="109">
        <f t="shared" si="5"/>
        <v>0</v>
      </c>
      <c r="X35" s="109">
        <f t="shared" si="5"/>
        <v>0</v>
      </c>
      <c r="Y35" s="109">
        <f t="shared" si="5"/>
        <v>0</v>
      </c>
      <c r="Z35" s="109">
        <f t="shared" si="5"/>
        <v>0</v>
      </c>
      <c r="AA35" s="109">
        <f t="shared" si="5"/>
        <v>0</v>
      </c>
      <c r="AB35" s="109">
        <f t="shared" si="5"/>
        <v>0</v>
      </c>
      <c r="AC35" s="109">
        <f t="shared" si="5"/>
        <v>0</v>
      </c>
      <c r="AD35" s="109">
        <f t="shared" si="5"/>
        <v>0</v>
      </c>
      <c r="AE35" s="109">
        <f t="shared" si="5"/>
        <v>0</v>
      </c>
      <c r="AF35" s="126">
        <f t="shared" si="5"/>
        <v>0</v>
      </c>
      <c r="AG35" s="126">
        <f t="shared" si="5"/>
        <v>0</v>
      </c>
      <c r="AH35" s="126">
        <f t="shared" si="5"/>
        <v>0</v>
      </c>
      <c r="AI35" s="126">
        <f t="shared" si="5"/>
        <v>0</v>
      </c>
      <c r="AJ35" s="126">
        <f t="shared" si="5"/>
        <v>0</v>
      </c>
      <c r="AK35" s="126">
        <f t="shared" si="5"/>
        <v>0</v>
      </c>
      <c r="AL35" s="126">
        <f t="shared" si="5"/>
        <v>0</v>
      </c>
      <c r="AM35" s="126">
        <f t="shared" si="5"/>
        <v>0</v>
      </c>
      <c r="AN35" s="126">
        <f t="shared" si="5"/>
        <v>0</v>
      </c>
      <c r="AO35" s="126">
        <f t="shared" si="5"/>
        <v>0</v>
      </c>
      <c r="AP35" s="126">
        <f t="shared" si="5"/>
        <v>0</v>
      </c>
      <c r="AQ35" s="126">
        <f t="shared" si="5"/>
        <v>0</v>
      </c>
      <c r="AR35" s="126">
        <f t="shared" si="5"/>
        <v>0</v>
      </c>
      <c r="AS35" s="126">
        <f t="shared" si="5"/>
        <v>0</v>
      </c>
      <c r="AT35" s="220">
        <f t="shared" si="11"/>
        <v>0</v>
      </c>
      <c r="AU35" s="220">
        <f t="shared" si="11"/>
        <v>0</v>
      </c>
      <c r="AV35" s="220">
        <f t="shared" si="11"/>
        <v>0</v>
      </c>
      <c r="AW35" s="220">
        <f t="shared" si="7"/>
        <v>0</v>
      </c>
      <c r="AX35" s="220">
        <f t="shared" si="7"/>
        <v>0</v>
      </c>
      <c r="AY35" s="220">
        <f t="shared" si="7"/>
        <v>0</v>
      </c>
      <c r="AZ35" s="220">
        <f t="shared" si="7"/>
        <v>0</v>
      </c>
      <c r="BA35" s="220">
        <f t="shared" si="7"/>
        <v>0</v>
      </c>
      <c r="BB35" s="220">
        <f t="shared" si="7"/>
        <v>0</v>
      </c>
      <c r="BC35" s="220">
        <f t="shared" si="7"/>
        <v>0</v>
      </c>
    </row>
    <row r="36" spans="1:55" x14ac:dyDescent="0.25">
      <c r="A36" s="124" t="str">
        <f>A17</f>
        <v>x</v>
      </c>
      <c r="B36" s="90">
        <f t="shared" si="0"/>
        <v>0</v>
      </c>
      <c r="C36" s="127"/>
      <c r="D36" s="111" t="e">
        <f t="shared" si="1"/>
        <v>#DIV/0!</v>
      </c>
      <c r="E36" s="90">
        <f t="shared" si="2"/>
        <v>0</v>
      </c>
      <c r="F36" s="109">
        <f t="shared" si="3"/>
        <v>0</v>
      </c>
      <c r="G36" s="109">
        <f t="shared" si="3"/>
        <v>0</v>
      </c>
      <c r="H36" s="109">
        <f t="shared" si="3"/>
        <v>0</v>
      </c>
      <c r="I36" s="109">
        <f t="shared" si="3"/>
        <v>0</v>
      </c>
      <c r="J36" s="109">
        <f t="shared" si="3"/>
        <v>0</v>
      </c>
      <c r="K36" s="109">
        <f t="shared" si="8"/>
        <v>0</v>
      </c>
      <c r="L36" s="109">
        <f t="shared" si="9"/>
        <v>0</v>
      </c>
      <c r="M36" s="109">
        <f t="shared" si="3"/>
        <v>0</v>
      </c>
      <c r="N36" s="109">
        <f t="shared" si="3"/>
        <v>0</v>
      </c>
      <c r="O36" s="90">
        <f t="shared" si="3"/>
        <v>0</v>
      </c>
      <c r="P36" s="109">
        <f t="shared" si="3"/>
        <v>0</v>
      </c>
      <c r="Q36" s="109">
        <f t="shared" si="3"/>
        <v>0</v>
      </c>
      <c r="R36" s="109">
        <f t="shared" si="4"/>
        <v>0</v>
      </c>
      <c r="S36" s="109">
        <f t="shared" si="4"/>
        <v>0</v>
      </c>
      <c r="T36" s="109">
        <f t="shared" si="4"/>
        <v>0</v>
      </c>
      <c r="U36" s="109">
        <f t="shared" si="4"/>
        <v>0</v>
      </c>
      <c r="V36" s="109">
        <f t="shared" si="10"/>
        <v>0</v>
      </c>
      <c r="W36" s="109">
        <f t="shared" si="5"/>
        <v>0</v>
      </c>
      <c r="X36" s="109">
        <f t="shared" si="5"/>
        <v>0</v>
      </c>
      <c r="Y36" s="109">
        <f t="shared" ref="Y36:AS36" si="13">$E36*Y17</f>
        <v>0</v>
      </c>
      <c r="Z36" s="109">
        <f t="shared" si="13"/>
        <v>0</v>
      </c>
      <c r="AA36" s="109">
        <f t="shared" si="13"/>
        <v>0</v>
      </c>
      <c r="AB36" s="109">
        <f t="shared" si="13"/>
        <v>0</v>
      </c>
      <c r="AC36" s="109">
        <f t="shared" si="13"/>
        <v>0</v>
      </c>
      <c r="AD36" s="109">
        <f t="shared" si="13"/>
        <v>0</v>
      </c>
      <c r="AE36" s="109">
        <f t="shared" si="13"/>
        <v>0</v>
      </c>
      <c r="AF36" s="126">
        <f t="shared" si="13"/>
        <v>0</v>
      </c>
      <c r="AG36" s="126">
        <f t="shared" si="13"/>
        <v>0</v>
      </c>
      <c r="AH36" s="126">
        <f t="shared" si="13"/>
        <v>0</v>
      </c>
      <c r="AI36" s="126">
        <f t="shared" si="13"/>
        <v>0</v>
      </c>
      <c r="AJ36" s="126">
        <f t="shared" si="13"/>
        <v>0</v>
      </c>
      <c r="AK36" s="126">
        <f t="shared" si="13"/>
        <v>0</v>
      </c>
      <c r="AL36" s="126">
        <f t="shared" si="13"/>
        <v>0</v>
      </c>
      <c r="AM36" s="126">
        <f t="shared" si="13"/>
        <v>0</v>
      </c>
      <c r="AN36" s="126">
        <f t="shared" si="13"/>
        <v>0</v>
      </c>
      <c r="AO36" s="126">
        <f t="shared" si="13"/>
        <v>0</v>
      </c>
      <c r="AP36" s="126">
        <f t="shared" si="13"/>
        <v>0</v>
      </c>
      <c r="AQ36" s="126">
        <f t="shared" si="13"/>
        <v>0</v>
      </c>
      <c r="AR36" s="126">
        <f t="shared" si="13"/>
        <v>0</v>
      </c>
      <c r="AS36" s="126">
        <f t="shared" si="13"/>
        <v>0</v>
      </c>
      <c r="AT36" s="220">
        <f t="shared" si="11"/>
        <v>0</v>
      </c>
      <c r="AU36" s="220">
        <f t="shared" si="11"/>
        <v>0</v>
      </c>
      <c r="AV36" s="220">
        <f t="shared" si="11"/>
        <v>0</v>
      </c>
      <c r="AW36" s="220">
        <f t="shared" si="7"/>
        <v>0</v>
      </c>
      <c r="AX36" s="220">
        <f t="shared" si="7"/>
        <v>0</v>
      </c>
      <c r="AY36" s="220">
        <f t="shared" si="7"/>
        <v>0</v>
      </c>
      <c r="AZ36" s="220">
        <f t="shared" si="7"/>
        <v>0</v>
      </c>
      <c r="BA36" s="220">
        <f t="shared" si="7"/>
        <v>0</v>
      </c>
      <c r="BB36" s="220">
        <f t="shared" si="7"/>
        <v>0</v>
      </c>
      <c r="BC36" s="220">
        <f t="shared" si="7"/>
        <v>0</v>
      </c>
    </row>
    <row r="37" spans="1:55" x14ac:dyDescent="0.25">
      <c r="A37" s="124" t="str">
        <f t="shared" si="12"/>
        <v>x</v>
      </c>
      <c r="B37" s="90">
        <f t="shared" si="0"/>
        <v>0</v>
      </c>
      <c r="C37" s="127"/>
      <c r="D37" s="111" t="e">
        <f t="shared" si="1"/>
        <v>#DIV/0!</v>
      </c>
      <c r="E37" s="90">
        <f t="shared" si="2"/>
        <v>0</v>
      </c>
      <c r="F37" s="109">
        <f t="shared" si="3"/>
        <v>0</v>
      </c>
      <c r="G37" s="109">
        <f t="shared" si="3"/>
        <v>0</v>
      </c>
      <c r="H37" s="109">
        <f t="shared" si="3"/>
        <v>0</v>
      </c>
      <c r="I37" s="109">
        <f t="shared" si="3"/>
        <v>0</v>
      </c>
      <c r="J37" s="109">
        <f t="shared" si="3"/>
        <v>0</v>
      </c>
      <c r="K37" s="109">
        <f t="shared" si="8"/>
        <v>0</v>
      </c>
      <c r="L37" s="109">
        <f t="shared" si="9"/>
        <v>0</v>
      </c>
      <c r="M37" s="109">
        <f t="shared" si="3"/>
        <v>0</v>
      </c>
      <c r="N37" s="109">
        <f t="shared" si="3"/>
        <v>0</v>
      </c>
      <c r="O37" s="90">
        <f t="shared" si="3"/>
        <v>0</v>
      </c>
      <c r="P37" s="109">
        <f t="shared" si="3"/>
        <v>0</v>
      </c>
      <c r="Q37" s="109">
        <f t="shared" si="3"/>
        <v>0</v>
      </c>
      <c r="R37" s="109">
        <f t="shared" si="4"/>
        <v>0</v>
      </c>
      <c r="S37" s="109">
        <f t="shared" si="4"/>
        <v>0</v>
      </c>
      <c r="T37" s="109">
        <f t="shared" si="4"/>
        <v>0</v>
      </c>
      <c r="U37" s="109">
        <f t="shared" si="4"/>
        <v>0</v>
      </c>
      <c r="V37" s="109">
        <f t="shared" si="10"/>
        <v>0</v>
      </c>
      <c r="W37" s="109">
        <f t="shared" ref="W37:AS40" si="14">$E37*W18</f>
        <v>0</v>
      </c>
      <c r="X37" s="109">
        <f t="shared" si="14"/>
        <v>0</v>
      </c>
      <c r="Y37" s="109">
        <f t="shared" si="14"/>
        <v>0</v>
      </c>
      <c r="Z37" s="109">
        <f t="shared" si="14"/>
        <v>0</v>
      </c>
      <c r="AA37" s="109">
        <f t="shared" si="14"/>
        <v>0</v>
      </c>
      <c r="AB37" s="109">
        <f t="shared" si="14"/>
        <v>0</v>
      </c>
      <c r="AC37" s="109">
        <f t="shared" si="14"/>
        <v>0</v>
      </c>
      <c r="AD37" s="109">
        <f t="shared" si="14"/>
        <v>0</v>
      </c>
      <c r="AE37" s="109">
        <f t="shared" si="14"/>
        <v>0</v>
      </c>
      <c r="AF37" s="126">
        <f t="shared" si="14"/>
        <v>0</v>
      </c>
      <c r="AG37" s="126">
        <f t="shared" si="14"/>
        <v>0</v>
      </c>
      <c r="AH37" s="126">
        <f t="shared" si="14"/>
        <v>0</v>
      </c>
      <c r="AI37" s="126">
        <f t="shared" si="14"/>
        <v>0</v>
      </c>
      <c r="AJ37" s="126">
        <f t="shared" si="14"/>
        <v>0</v>
      </c>
      <c r="AK37" s="126">
        <f t="shared" si="14"/>
        <v>0</v>
      </c>
      <c r="AL37" s="126">
        <f t="shared" si="14"/>
        <v>0</v>
      </c>
      <c r="AM37" s="126">
        <f t="shared" si="14"/>
        <v>0</v>
      </c>
      <c r="AN37" s="126">
        <f t="shared" si="14"/>
        <v>0</v>
      </c>
      <c r="AO37" s="126">
        <f t="shared" si="14"/>
        <v>0</v>
      </c>
      <c r="AP37" s="126">
        <f t="shared" si="14"/>
        <v>0</v>
      </c>
      <c r="AQ37" s="126">
        <f t="shared" si="14"/>
        <v>0</v>
      </c>
      <c r="AR37" s="126">
        <f t="shared" si="14"/>
        <v>0</v>
      </c>
      <c r="AS37" s="126">
        <f t="shared" si="14"/>
        <v>0</v>
      </c>
      <c r="AT37" s="220">
        <f t="shared" si="11"/>
        <v>0</v>
      </c>
      <c r="AU37" s="220">
        <f t="shared" si="11"/>
        <v>0</v>
      </c>
      <c r="AV37" s="220">
        <f t="shared" si="11"/>
        <v>0</v>
      </c>
      <c r="AW37" s="220">
        <f t="shared" si="7"/>
        <v>0</v>
      </c>
      <c r="AX37" s="220">
        <f t="shared" si="7"/>
        <v>0</v>
      </c>
      <c r="AY37" s="220">
        <f t="shared" si="7"/>
        <v>0</v>
      </c>
      <c r="AZ37" s="220">
        <f t="shared" si="7"/>
        <v>0</v>
      </c>
      <c r="BA37" s="220">
        <f t="shared" si="7"/>
        <v>0</v>
      </c>
      <c r="BB37" s="220">
        <f t="shared" si="7"/>
        <v>0</v>
      </c>
      <c r="BC37" s="220">
        <f t="shared" si="7"/>
        <v>0</v>
      </c>
    </row>
    <row r="38" spans="1:55" x14ac:dyDescent="0.25">
      <c r="A38" s="124" t="str">
        <f t="shared" si="12"/>
        <v>x</v>
      </c>
      <c r="B38" s="90">
        <f t="shared" si="0"/>
        <v>0</v>
      </c>
      <c r="C38" s="127"/>
      <c r="D38" s="111" t="e">
        <f t="shared" si="1"/>
        <v>#DIV/0!</v>
      </c>
      <c r="E38" s="90">
        <f t="shared" si="2"/>
        <v>0</v>
      </c>
      <c r="F38" s="109">
        <f t="shared" si="3"/>
        <v>0</v>
      </c>
      <c r="G38" s="109">
        <f t="shared" si="3"/>
        <v>0</v>
      </c>
      <c r="H38" s="109">
        <f t="shared" si="3"/>
        <v>0</v>
      </c>
      <c r="I38" s="109">
        <f t="shared" si="3"/>
        <v>0</v>
      </c>
      <c r="J38" s="109">
        <f t="shared" si="3"/>
        <v>0</v>
      </c>
      <c r="K38" s="109">
        <f t="shared" si="8"/>
        <v>0</v>
      </c>
      <c r="L38" s="109">
        <f t="shared" si="9"/>
        <v>0</v>
      </c>
      <c r="M38" s="109">
        <f t="shared" si="3"/>
        <v>0</v>
      </c>
      <c r="N38" s="109">
        <f t="shared" si="3"/>
        <v>0</v>
      </c>
      <c r="O38" s="90">
        <f t="shared" si="3"/>
        <v>0</v>
      </c>
      <c r="P38" s="109">
        <f t="shared" si="3"/>
        <v>0</v>
      </c>
      <c r="Q38" s="109">
        <f t="shared" si="3"/>
        <v>0</v>
      </c>
      <c r="R38" s="109">
        <f t="shared" si="4"/>
        <v>0</v>
      </c>
      <c r="S38" s="109">
        <f t="shared" si="4"/>
        <v>0</v>
      </c>
      <c r="T38" s="109">
        <f t="shared" si="4"/>
        <v>0</v>
      </c>
      <c r="U38" s="109">
        <f t="shared" si="4"/>
        <v>0</v>
      </c>
      <c r="V38" s="109">
        <f t="shared" si="10"/>
        <v>0</v>
      </c>
      <c r="W38" s="109">
        <f t="shared" si="14"/>
        <v>0</v>
      </c>
      <c r="X38" s="109">
        <f t="shared" si="14"/>
        <v>0</v>
      </c>
      <c r="Y38" s="109">
        <f t="shared" si="14"/>
        <v>0</v>
      </c>
      <c r="Z38" s="109">
        <f t="shared" si="14"/>
        <v>0</v>
      </c>
      <c r="AA38" s="109">
        <f t="shared" si="14"/>
        <v>0</v>
      </c>
      <c r="AB38" s="109">
        <f t="shared" si="14"/>
        <v>0</v>
      </c>
      <c r="AC38" s="109">
        <f t="shared" si="14"/>
        <v>0</v>
      </c>
      <c r="AD38" s="109">
        <f t="shared" si="14"/>
        <v>0</v>
      </c>
      <c r="AE38" s="109">
        <f t="shared" si="14"/>
        <v>0</v>
      </c>
      <c r="AF38" s="126">
        <f t="shared" si="14"/>
        <v>0</v>
      </c>
      <c r="AG38" s="126">
        <f t="shared" si="14"/>
        <v>0</v>
      </c>
      <c r="AH38" s="126">
        <f t="shared" si="14"/>
        <v>0</v>
      </c>
      <c r="AI38" s="126">
        <f t="shared" si="14"/>
        <v>0</v>
      </c>
      <c r="AJ38" s="126">
        <f t="shared" si="14"/>
        <v>0</v>
      </c>
      <c r="AK38" s="126">
        <f t="shared" si="14"/>
        <v>0</v>
      </c>
      <c r="AL38" s="126">
        <f t="shared" si="14"/>
        <v>0</v>
      </c>
      <c r="AM38" s="126">
        <f t="shared" si="14"/>
        <v>0</v>
      </c>
      <c r="AN38" s="126">
        <f t="shared" si="14"/>
        <v>0</v>
      </c>
      <c r="AO38" s="126">
        <f t="shared" si="14"/>
        <v>0</v>
      </c>
      <c r="AP38" s="126">
        <f t="shared" si="14"/>
        <v>0</v>
      </c>
      <c r="AQ38" s="126">
        <f t="shared" si="14"/>
        <v>0</v>
      </c>
      <c r="AR38" s="126">
        <f t="shared" si="14"/>
        <v>0</v>
      </c>
      <c r="AS38" s="126">
        <f t="shared" si="14"/>
        <v>0</v>
      </c>
      <c r="AT38" s="126">
        <f t="shared" si="11"/>
        <v>0</v>
      </c>
      <c r="AU38" s="126">
        <f t="shared" si="11"/>
        <v>0</v>
      </c>
      <c r="AV38" s="126">
        <f t="shared" si="11"/>
        <v>0</v>
      </c>
      <c r="AW38" s="220">
        <f t="shared" si="7"/>
        <v>0</v>
      </c>
      <c r="AX38" s="220">
        <f t="shared" si="7"/>
        <v>0</v>
      </c>
      <c r="AY38" s="220">
        <f t="shared" si="7"/>
        <v>0</v>
      </c>
      <c r="AZ38" s="220">
        <f t="shared" si="7"/>
        <v>0</v>
      </c>
      <c r="BA38" s="220">
        <f t="shared" si="7"/>
        <v>0</v>
      </c>
      <c r="BB38" s="220">
        <f t="shared" si="7"/>
        <v>0</v>
      </c>
      <c r="BC38" s="220">
        <f t="shared" si="7"/>
        <v>0</v>
      </c>
    </row>
    <row r="39" spans="1:55" x14ac:dyDescent="0.25">
      <c r="A39" s="124" t="str">
        <f t="shared" si="12"/>
        <v>x</v>
      </c>
      <c r="B39" s="90">
        <f t="shared" si="0"/>
        <v>0</v>
      </c>
      <c r="C39" s="127"/>
      <c r="D39" s="111" t="e">
        <f t="shared" si="1"/>
        <v>#DIV/0!</v>
      </c>
      <c r="E39" s="90">
        <f t="shared" si="2"/>
        <v>0</v>
      </c>
      <c r="F39" s="109">
        <f t="shared" si="3"/>
        <v>0</v>
      </c>
      <c r="G39" s="109">
        <f t="shared" si="3"/>
        <v>0</v>
      </c>
      <c r="H39" s="109">
        <f t="shared" si="3"/>
        <v>0</v>
      </c>
      <c r="I39" s="109">
        <f t="shared" si="3"/>
        <v>0</v>
      </c>
      <c r="J39" s="109">
        <f t="shared" si="3"/>
        <v>0</v>
      </c>
      <c r="K39" s="109">
        <f t="shared" si="8"/>
        <v>0</v>
      </c>
      <c r="L39" s="109">
        <f t="shared" si="9"/>
        <v>0</v>
      </c>
      <c r="M39" s="109">
        <f t="shared" si="3"/>
        <v>0</v>
      </c>
      <c r="N39" s="109">
        <f t="shared" si="3"/>
        <v>0</v>
      </c>
      <c r="O39" s="90">
        <f t="shared" si="3"/>
        <v>0</v>
      </c>
      <c r="P39" s="109">
        <f t="shared" si="3"/>
        <v>0</v>
      </c>
      <c r="Q39" s="109">
        <f t="shared" si="3"/>
        <v>0</v>
      </c>
      <c r="R39" s="109">
        <f t="shared" si="4"/>
        <v>0</v>
      </c>
      <c r="S39" s="109">
        <f t="shared" si="4"/>
        <v>0</v>
      </c>
      <c r="T39" s="109">
        <f t="shared" si="4"/>
        <v>0</v>
      </c>
      <c r="U39" s="109">
        <f t="shared" si="4"/>
        <v>0</v>
      </c>
      <c r="V39" s="109">
        <f t="shared" si="10"/>
        <v>0</v>
      </c>
      <c r="W39" s="109">
        <f t="shared" si="14"/>
        <v>0</v>
      </c>
      <c r="X39" s="109">
        <f t="shared" si="14"/>
        <v>0</v>
      </c>
      <c r="Y39" s="109">
        <f t="shared" si="14"/>
        <v>0</v>
      </c>
      <c r="Z39" s="109">
        <f t="shared" si="14"/>
        <v>0</v>
      </c>
      <c r="AA39" s="109">
        <f t="shared" si="14"/>
        <v>0</v>
      </c>
      <c r="AB39" s="109">
        <f t="shared" si="14"/>
        <v>0</v>
      </c>
      <c r="AC39" s="109">
        <f t="shared" si="14"/>
        <v>0</v>
      </c>
      <c r="AD39" s="109">
        <f t="shared" si="14"/>
        <v>0</v>
      </c>
      <c r="AE39" s="109">
        <f t="shared" si="14"/>
        <v>0</v>
      </c>
      <c r="AF39" s="126">
        <f t="shared" si="14"/>
        <v>0</v>
      </c>
      <c r="AG39" s="126">
        <f t="shared" si="14"/>
        <v>0</v>
      </c>
      <c r="AH39" s="126">
        <f t="shared" si="14"/>
        <v>0</v>
      </c>
      <c r="AI39" s="126">
        <f t="shared" si="14"/>
        <v>0</v>
      </c>
      <c r="AJ39" s="126">
        <f t="shared" si="14"/>
        <v>0</v>
      </c>
      <c r="AK39" s="126">
        <f t="shared" si="14"/>
        <v>0</v>
      </c>
      <c r="AL39" s="126">
        <f t="shared" si="14"/>
        <v>0</v>
      </c>
      <c r="AM39" s="126">
        <f t="shared" si="14"/>
        <v>0</v>
      </c>
      <c r="AN39" s="126">
        <f t="shared" si="14"/>
        <v>0</v>
      </c>
      <c r="AO39" s="126">
        <f t="shared" si="14"/>
        <v>0</v>
      </c>
      <c r="AP39" s="126">
        <f t="shared" si="14"/>
        <v>0</v>
      </c>
      <c r="AQ39" s="126">
        <f t="shared" si="14"/>
        <v>0</v>
      </c>
      <c r="AR39" s="126">
        <f t="shared" si="14"/>
        <v>0</v>
      </c>
      <c r="AS39" s="126">
        <f t="shared" si="14"/>
        <v>0</v>
      </c>
      <c r="AT39" s="126">
        <f t="shared" si="11"/>
        <v>0</v>
      </c>
      <c r="AU39" s="126">
        <f t="shared" si="11"/>
        <v>0</v>
      </c>
      <c r="AV39" s="126">
        <f t="shared" si="11"/>
        <v>0</v>
      </c>
      <c r="AW39" s="220">
        <f t="shared" si="7"/>
        <v>0</v>
      </c>
      <c r="AX39" s="220">
        <f t="shared" si="7"/>
        <v>0</v>
      </c>
      <c r="AY39" s="220">
        <f t="shared" si="7"/>
        <v>0</v>
      </c>
      <c r="AZ39" s="220">
        <f t="shared" si="7"/>
        <v>0</v>
      </c>
      <c r="BA39" s="220">
        <f t="shared" si="7"/>
        <v>0</v>
      </c>
      <c r="BB39" s="220">
        <f t="shared" si="7"/>
        <v>0</v>
      </c>
      <c r="BC39" s="220">
        <f t="shared" si="7"/>
        <v>0</v>
      </c>
    </row>
    <row r="40" spans="1:55" ht="17.25" thickBot="1" x14ac:dyDescent="0.3">
      <c r="A40" s="129" t="str">
        <f t="shared" si="12"/>
        <v>x</v>
      </c>
      <c r="B40" s="121">
        <f t="shared" si="0"/>
        <v>0</v>
      </c>
      <c r="C40" s="130"/>
      <c r="D40" s="120" t="e">
        <f t="shared" si="1"/>
        <v>#DIV/0!</v>
      </c>
      <c r="E40" s="184">
        <f t="shared" si="2"/>
        <v>0</v>
      </c>
      <c r="F40" s="117">
        <f t="shared" si="3"/>
        <v>0</v>
      </c>
      <c r="G40" s="117">
        <f t="shared" si="3"/>
        <v>0</v>
      </c>
      <c r="H40" s="117">
        <f t="shared" si="3"/>
        <v>0</v>
      </c>
      <c r="I40" s="117">
        <f t="shared" si="3"/>
        <v>0</v>
      </c>
      <c r="J40" s="117">
        <f t="shared" si="3"/>
        <v>0</v>
      </c>
      <c r="K40" s="117">
        <f t="shared" si="8"/>
        <v>0</v>
      </c>
      <c r="L40" s="117">
        <f t="shared" si="9"/>
        <v>0</v>
      </c>
      <c r="M40" s="117">
        <f t="shared" si="3"/>
        <v>0</v>
      </c>
      <c r="N40" s="117">
        <f t="shared" si="3"/>
        <v>0</v>
      </c>
      <c r="O40" s="121">
        <f t="shared" si="3"/>
        <v>0</v>
      </c>
      <c r="P40" s="117">
        <f t="shared" si="3"/>
        <v>0</v>
      </c>
      <c r="Q40" s="117">
        <f t="shared" si="3"/>
        <v>0</v>
      </c>
      <c r="R40" s="117">
        <f t="shared" si="4"/>
        <v>0</v>
      </c>
      <c r="S40" s="117">
        <f t="shared" si="4"/>
        <v>0</v>
      </c>
      <c r="T40" s="117">
        <f t="shared" si="4"/>
        <v>0</v>
      </c>
      <c r="U40" s="117">
        <f t="shared" si="4"/>
        <v>0</v>
      </c>
      <c r="V40" s="117">
        <f t="shared" si="10"/>
        <v>0</v>
      </c>
      <c r="W40" s="117">
        <f t="shared" si="14"/>
        <v>0</v>
      </c>
      <c r="X40" s="117">
        <f t="shared" si="14"/>
        <v>0</v>
      </c>
      <c r="Y40" s="117">
        <f t="shared" si="14"/>
        <v>0</v>
      </c>
      <c r="Z40" s="117">
        <f t="shared" si="14"/>
        <v>0</v>
      </c>
      <c r="AA40" s="117">
        <f t="shared" si="14"/>
        <v>0</v>
      </c>
      <c r="AB40" s="117">
        <f t="shared" si="14"/>
        <v>0</v>
      </c>
      <c r="AC40" s="117">
        <f t="shared" si="14"/>
        <v>0</v>
      </c>
      <c r="AD40" s="117">
        <f t="shared" si="14"/>
        <v>0</v>
      </c>
      <c r="AE40" s="117">
        <f t="shared" si="14"/>
        <v>0</v>
      </c>
      <c r="AF40" s="131">
        <f t="shared" si="14"/>
        <v>0</v>
      </c>
      <c r="AG40" s="131">
        <f t="shared" si="14"/>
        <v>0</v>
      </c>
      <c r="AH40" s="131">
        <f t="shared" si="14"/>
        <v>0</v>
      </c>
      <c r="AI40" s="131">
        <f t="shared" si="14"/>
        <v>0</v>
      </c>
      <c r="AJ40" s="131">
        <f t="shared" si="14"/>
        <v>0</v>
      </c>
      <c r="AK40" s="131">
        <f t="shared" si="14"/>
        <v>0</v>
      </c>
      <c r="AL40" s="131">
        <f t="shared" si="14"/>
        <v>0</v>
      </c>
      <c r="AM40" s="131">
        <f t="shared" si="14"/>
        <v>0</v>
      </c>
      <c r="AN40" s="131">
        <f t="shared" si="14"/>
        <v>0</v>
      </c>
      <c r="AO40" s="131">
        <f t="shared" si="14"/>
        <v>0</v>
      </c>
      <c r="AP40" s="131">
        <f t="shared" si="14"/>
        <v>0</v>
      </c>
      <c r="AQ40" s="131">
        <f t="shared" si="14"/>
        <v>0</v>
      </c>
      <c r="AR40" s="131">
        <f t="shared" si="14"/>
        <v>0</v>
      </c>
      <c r="AS40" s="131">
        <f t="shared" si="14"/>
        <v>0</v>
      </c>
      <c r="AT40" s="131">
        <f t="shared" si="11"/>
        <v>0</v>
      </c>
      <c r="AU40" s="131">
        <f t="shared" si="11"/>
        <v>0</v>
      </c>
      <c r="AV40" s="131">
        <f t="shared" si="11"/>
        <v>0</v>
      </c>
      <c r="AW40" s="221">
        <f t="shared" si="7"/>
        <v>0</v>
      </c>
      <c r="AX40" s="221">
        <f t="shared" si="7"/>
        <v>0</v>
      </c>
      <c r="AY40" s="221">
        <f t="shared" si="7"/>
        <v>0</v>
      </c>
      <c r="AZ40" s="221">
        <f t="shared" si="7"/>
        <v>0</v>
      </c>
      <c r="BA40" s="221">
        <f t="shared" si="7"/>
        <v>0</v>
      </c>
      <c r="BB40" s="221">
        <f t="shared" si="7"/>
        <v>0</v>
      </c>
      <c r="BC40" s="221">
        <f t="shared" si="7"/>
        <v>0</v>
      </c>
    </row>
    <row r="41" spans="1:55" ht="17.25" thickTop="1" x14ac:dyDescent="0.25">
      <c r="B41" s="109"/>
      <c r="D41" s="111"/>
      <c r="E41" s="82"/>
      <c r="AF41" s="77"/>
      <c r="AG41" s="77"/>
      <c r="AH41" s="77"/>
      <c r="AI41" s="77"/>
    </row>
    <row r="42" spans="1:55" ht="17.25" thickBot="1" x14ac:dyDescent="0.3">
      <c r="A42" s="89" t="s">
        <v>32</v>
      </c>
      <c r="B42" s="77"/>
      <c r="C42" s="113">
        <f t="shared" ref="C42" si="15">SUM(C25:C40)</f>
        <v>0</v>
      </c>
      <c r="D42" s="111" t="e">
        <f>SUM(D25:D40)</f>
        <v>#DIV/0!</v>
      </c>
      <c r="E42" s="113">
        <f>SUM(E25:E40)</f>
        <v>0</v>
      </c>
      <c r="F42" s="90">
        <f>SUM(F25:F40)</f>
        <v>0</v>
      </c>
      <c r="G42" s="90">
        <f t="shared" ref="G42:AS42" si="16">SUM(G25:G40)</f>
        <v>0</v>
      </c>
      <c r="H42" s="90">
        <f t="shared" si="16"/>
        <v>0</v>
      </c>
      <c r="I42" s="90">
        <f t="shared" si="16"/>
        <v>0</v>
      </c>
      <c r="J42" s="90">
        <f t="shared" si="16"/>
        <v>0</v>
      </c>
      <c r="K42" s="90">
        <f t="shared" si="16"/>
        <v>0</v>
      </c>
      <c r="L42" s="90">
        <f t="shared" si="16"/>
        <v>0</v>
      </c>
      <c r="M42" s="90">
        <f t="shared" si="16"/>
        <v>0</v>
      </c>
      <c r="N42" s="90">
        <f t="shared" si="16"/>
        <v>0</v>
      </c>
      <c r="O42" s="90">
        <f t="shared" si="16"/>
        <v>0</v>
      </c>
      <c r="P42" s="90">
        <f t="shared" si="16"/>
        <v>0</v>
      </c>
      <c r="Q42" s="90">
        <f t="shared" si="16"/>
        <v>0</v>
      </c>
      <c r="R42" s="90">
        <f t="shared" si="16"/>
        <v>0</v>
      </c>
      <c r="S42" s="90">
        <f t="shared" si="16"/>
        <v>0</v>
      </c>
      <c r="T42" s="90">
        <f t="shared" si="16"/>
        <v>0</v>
      </c>
      <c r="U42" s="90">
        <f t="shared" si="16"/>
        <v>0</v>
      </c>
      <c r="V42" s="90">
        <f t="shared" si="16"/>
        <v>0</v>
      </c>
      <c r="W42" s="90">
        <f t="shared" si="16"/>
        <v>0</v>
      </c>
      <c r="X42" s="90">
        <f t="shared" si="16"/>
        <v>0</v>
      </c>
      <c r="Y42" s="90">
        <f t="shared" si="16"/>
        <v>0</v>
      </c>
      <c r="Z42" s="90">
        <f t="shared" si="16"/>
        <v>0</v>
      </c>
      <c r="AA42" s="90">
        <f t="shared" si="16"/>
        <v>0</v>
      </c>
      <c r="AB42" s="90">
        <f t="shared" si="16"/>
        <v>0</v>
      </c>
      <c r="AC42" s="90">
        <f t="shared" si="16"/>
        <v>0</v>
      </c>
      <c r="AD42" s="90">
        <f t="shared" si="16"/>
        <v>0</v>
      </c>
      <c r="AE42" s="90">
        <f t="shared" si="16"/>
        <v>0</v>
      </c>
      <c r="AF42" s="90">
        <f t="shared" si="16"/>
        <v>0</v>
      </c>
      <c r="AG42" s="90">
        <f t="shared" si="16"/>
        <v>0</v>
      </c>
      <c r="AH42" s="90">
        <f t="shared" si="16"/>
        <v>0</v>
      </c>
      <c r="AI42" s="90">
        <f t="shared" si="16"/>
        <v>0</v>
      </c>
      <c r="AJ42" s="90">
        <f t="shared" si="16"/>
        <v>0</v>
      </c>
      <c r="AK42" s="90">
        <f t="shared" si="16"/>
        <v>0</v>
      </c>
      <c r="AL42" s="90">
        <f t="shared" si="16"/>
        <v>0</v>
      </c>
      <c r="AM42" s="90">
        <f t="shared" si="16"/>
        <v>0</v>
      </c>
      <c r="AN42" s="90">
        <f t="shared" si="16"/>
        <v>0</v>
      </c>
      <c r="AO42" s="90">
        <f t="shared" si="16"/>
        <v>0</v>
      </c>
      <c r="AP42" s="90">
        <f t="shared" si="16"/>
        <v>0</v>
      </c>
      <c r="AQ42" s="90">
        <f t="shared" si="16"/>
        <v>0</v>
      </c>
      <c r="AR42" s="90">
        <f t="shared" si="16"/>
        <v>0</v>
      </c>
      <c r="AS42" s="90">
        <f t="shared" si="16"/>
        <v>0</v>
      </c>
      <c r="AT42" s="113">
        <f>SUM(AT25:AT40)</f>
        <v>0</v>
      </c>
      <c r="AU42" s="113">
        <f t="shared" ref="AU42:AV42" si="17">SUM(AU25:AU40)</f>
        <v>0</v>
      </c>
      <c r="AV42" s="113">
        <f t="shared" si="17"/>
        <v>0</v>
      </c>
      <c r="AW42" s="113">
        <f>SUM(AW25:AW40)</f>
        <v>0</v>
      </c>
      <c r="AX42" s="113">
        <f t="shared" ref="AX42:BC42" si="18">SUM(AX25:AX40)</f>
        <v>0</v>
      </c>
      <c r="AY42" s="113">
        <f t="shared" si="18"/>
        <v>0</v>
      </c>
      <c r="AZ42" s="113">
        <f t="shared" si="18"/>
        <v>0</v>
      </c>
      <c r="BA42" s="113">
        <f t="shared" si="18"/>
        <v>0</v>
      </c>
      <c r="BB42" s="113">
        <f t="shared" si="18"/>
        <v>0</v>
      </c>
      <c r="BC42" s="113">
        <f t="shared" si="18"/>
        <v>0</v>
      </c>
    </row>
    <row r="43" spans="1:55" ht="18" thickTop="1" thickBot="1" x14ac:dyDescent="0.3">
      <c r="A43" s="133" t="s">
        <v>238</v>
      </c>
      <c r="B43" s="140" t="e">
        <f>SUM(B25:B40)/C42</f>
        <v>#DIV/0!</v>
      </c>
      <c r="C43" s="135"/>
      <c r="D43" s="136"/>
      <c r="E43" s="138" t="e">
        <f>E42/C42</f>
        <v>#DIV/0!</v>
      </c>
      <c r="F43" s="138" t="e">
        <f t="shared" ref="F43:U43" si="19">F42/$E42</f>
        <v>#DIV/0!</v>
      </c>
      <c r="G43" s="138" t="e">
        <f t="shared" si="19"/>
        <v>#DIV/0!</v>
      </c>
      <c r="H43" s="138" t="e">
        <f t="shared" si="19"/>
        <v>#DIV/0!</v>
      </c>
      <c r="I43" s="139" t="e">
        <f>I42/$E42</f>
        <v>#DIV/0!</v>
      </c>
      <c r="J43" s="139" t="e">
        <f t="shared" si="19"/>
        <v>#DIV/0!</v>
      </c>
      <c r="K43" s="139" t="e">
        <f t="shared" si="19"/>
        <v>#DIV/0!</v>
      </c>
      <c r="L43" s="139" t="e">
        <f t="shared" si="19"/>
        <v>#DIV/0!</v>
      </c>
      <c r="M43" s="139" t="e">
        <f t="shared" si="19"/>
        <v>#DIV/0!</v>
      </c>
      <c r="N43" s="139" t="e">
        <f t="shared" si="19"/>
        <v>#DIV/0!</v>
      </c>
      <c r="O43" s="140" t="e">
        <f t="shared" si="19"/>
        <v>#DIV/0!</v>
      </c>
      <c r="P43" s="139" t="e">
        <f t="shared" si="19"/>
        <v>#DIV/0!</v>
      </c>
      <c r="Q43" s="139" t="e">
        <f t="shared" si="19"/>
        <v>#DIV/0!</v>
      </c>
      <c r="R43" s="139" t="e">
        <f t="shared" si="19"/>
        <v>#DIV/0!</v>
      </c>
      <c r="S43" s="139" t="e">
        <f t="shared" si="19"/>
        <v>#DIV/0!</v>
      </c>
      <c r="T43" s="139" t="e">
        <f t="shared" si="19"/>
        <v>#DIV/0!</v>
      </c>
      <c r="U43" s="139" t="e">
        <f t="shared" si="19"/>
        <v>#DIV/0!</v>
      </c>
      <c r="V43" s="222" t="e">
        <f>((V25*U25)+(V26*U26)+(V27*U27)+(V28*U28)+(V29*U29)+(V30*U30)+(V31*U31)+(V32*U32)+(V33*U33)+(V34*U34)+(V35*U35)+(V36*U36)+(V37*U37)+(V38*U38)+(V39*U39)+(V40*U40))/SUM(U25:U40)</f>
        <v>#DIV/0!</v>
      </c>
      <c r="W43" s="138" t="e">
        <f t="shared" ref="W43:AS43" si="20">W42/$E42</f>
        <v>#DIV/0!</v>
      </c>
      <c r="X43" s="138" t="e">
        <f t="shared" si="20"/>
        <v>#DIV/0!</v>
      </c>
      <c r="Y43" s="138" t="e">
        <f t="shared" si="20"/>
        <v>#DIV/0!</v>
      </c>
      <c r="Z43" s="138" t="e">
        <f t="shared" si="20"/>
        <v>#DIV/0!</v>
      </c>
      <c r="AA43" s="138" t="e">
        <f t="shared" si="20"/>
        <v>#DIV/0!</v>
      </c>
      <c r="AB43" s="138" t="e">
        <f t="shared" si="20"/>
        <v>#DIV/0!</v>
      </c>
      <c r="AC43" s="138" t="e">
        <f t="shared" si="20"/>
        <v>#DIV/0!</v>
      </c>
      <c r="AD43" s="138" t="e">
        <f t="shared" si="20"/>
        <v>#DIV/0!</v>
      </c>
      <c r="AE43" s="138" t="e">
        <f t="shared" si="20"/>
        <v>#DIV/0!</v>
      </c>
      <c r="AF43" s="140" t="e">
        <f t="shared" si="20"/>
        <v>#DIV/0!</v>
      </c>
      <c r="AG43" s="137" t="e">
        <f t="shared" si="20"/>
        <v>#DIV/0!</v>
      </c>
      <c r="AH43" s="137" t="e">
        <f t="shared" si="20"/>
        <v>#DIV/0!</v>
      </c>
      <c r="AI43" s="137" t="e">
        <f t="shared" si="20"/>
        <v>#DIV/0!</v>
      </c>
      <c r="AJ43" s="140" t="e">
        <f t="shared" si="20"/>
        <v>#DIV/0!</v>
      </c>
      <c r="AK43" s="140" t="e">
        <f t="shared" si="20"/>
        <v>#DIV/0!</v>
      </c>
      <c r="AL43" s="137" t="e">
        <f t="shared" si="20"/>
        <v>#DIV/0!</v>
      </c>
      <c r="AM43" s="137" t="e">
        <f t="shared" si="20"/>
        <v>#DIV/0!</v>
      </c>
      <c r="AN43" s="137" t="e">
        <f t="shared" si="20"/>
        <v>#DIV/0!</v>
      </c>
      <c r="AO43" s="137" t="e">
        <f t="shared" si="20"/>
        <v>#DIV/0!</v>
      </c>
      <c r="AP43" s="137" t="e">
        <f t="shared" si="20"/>
        <v>#DIV/0!</v>
      </c>
      <c r="AQ43" s="137" t="e">
        <f t="shared" si="20"/>
        <v>#DIV/0!</v>
      </c>
      <c r="AR43" s="137" t="e">
        <f t="shared" si="20"/>
        <v>#DIV/0!</v>
      </c>
      <c r="AS43" s="137" t="e">
        <f t="shared" si="20"/>
        <v>#DIV/0!</v>
      </c>
      <c r="AT43" s="222" t="e">
        <f>AT42/$F42</f>
        <v>#DIV/0!</v>
      </c>
      <c r="AU43" s="222" t="e">
        <f t="shared" ref="AU43:AV43" si="21">AU42/$F42</f>
        <v>#DIV/0!</v>
      </c>
      <c r="AV43" s="222" t="e">
        <f t="shared" si="21"/>
        <v>#DIV/0!</v>
      </c>
      <c r="AW43" s="222" t="e">
        <f>((AW25*AU25)+(AW26*AU26)+(AW27*AU27)+(AW28*AU28)+(AW29*AU29)+(AW30*AU30)+(AW31*AU31)+(AW32*AU32)+(AW33*AU33)+(AW34*AU34)+(AW35*AU35)+(AW36*AU36)+(AW37*AU37)+(AW38*AU38)+(AW39*AU39)+(AW40*AU40))/SUM(AU25:AU40)</f>
        <v>#DIV/0!</v>
      </c>
      <c r="AX43" s="222" t="e">
        <f>((AX25*H25)+(AX26*H26)+(AX27*H27)+(AX28*H28)+(AX29*H29)+(AX30*H30)+(AX31*H31)+(AX32*H32)+(AX33*H33)+(AX34*H34)+(AX35*H35)+(AX36*H36)+(AX37*H37)+(AX38*H38)+(AX39*H39)+(AX40*H40))/SUM(H25:H40)</f>
        <v>#DIV/0!</v>
      </c>
      <c r="AY43" s="140" t="e">
        <f>((AY25*F25)+(AY26*F26)+(AY27*F27)+(AY28*F28)+(AY29*F29)+(AY30*F30)+(AY31*F31)+(AY32*F32)+(AY33*F33)+(AY34*F34)+(AY35*F35)+(AY36*F36)+(AY37*F37)+(AY38*F38)+(AY39*F39)+(AY40*F40))/SUM(F25:F40)</f>
        <v>#DIV/0!</v>
      </c>
      <c r="AZ43" s="140" t="e">
        <f>((AZ25*I25)+(AZ26*I26)+(AZ27*I27)+(AZ28*I28)+(AZ29*I29)+(AZ30*I30)+(AZ31*I31)+(AZ32*I32)+(AZ33*I33)+(AZ34*I34)+(AZ35*I35)+(AZ36*I36)+(AZ37*I37)+(AZ38*I38)+(AZ39*I39)+(AZ40*I40))/SUM(I25:I40)</f>
        <v>#DIV/0!</v>
      </c>
      <c r="BA43" s="140" t="e">
        <f>((BA25*Q25)+(BA26*Q26)+(BA27*Q27)+(BA28*Q28)+(BA29*Q29)+(BA30*Q30)+(BA31*Q31)+(BA32*Q32)+(BA33*Q33)+(BA34*Q34)+(BA35*Q35)+(BA36*Q36)+(BA37*Q37)+(BA38*Q38)+(BA39*Q39)+(BA40*Q40))/SUM(Q25:Q40)</f>
        <v>#DIV/0!</v>
      </c>
      <c r="BB43" s="140" t="e">
        <f>((BB25*F25)+(BB26*F26)+(BB27*F27)+(BB28*F28)+(BB29*F29)+(BB30*F30)+(BB31*F31)+(BB32*F32)+(BB33*F33)+(BB34*F34)+(BB35*F35)+(BB36*F36)+(BB37*F37)+(BB38*F38)+(BB39*F39)+(BB40*F40))/SUM(F25:F40)</f>
        <v>#DIV/0!</v>
      </c>
      <c r="BC43" s="140" t="e">
        <f>((BC25*F25)+(BC26*F26)+(BC27*F27)+(BC28*F28)+(BC29*F29)+(BC30*F30)+(BC31*F31)+(BC32*F32)+(BC33*F33)+(BC34*F34)+(BC35*F35)+(BC36*F36)+(BC37*F37)+(BC38*F38)+(BC39*F39)+(BC40*F40))/SUM(F25:F40)</f>
        <v>#DIV/0!</v>
      </c>
    </row>
    <row r="44" spans="1:55" s="87" customFormat="1" ht="18" thickTop="1" thickBot="1" x14ac:dyDescent="0.3">
      <c r="A44" s="142"/>
      <c r="B44" s="109"/>
      <c r="C44" s="77"/>
      <c r="D44" s="77"/>
      <c r="E44" s="143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  <c r="AA44" s="143"/>
      <c r="AB44" s="143"/>
      <c r="AC44" s="143"/>
      <c r="AD44" s="143"/>
      <c r="AE44" s="143"/>
      <c r="AF44" s="143"/>
      <c r="AG44" s="143"/>
      <c r="AH44" s="143"/>
      <c r="AI44" s="143"/>
      <c r="AJ44" s="143"/>
      <c r="AK44" s="143"/>
      <c r="AL44" s="143"/>
      <c r="AM44" s="144"/>
      <c r="AN44" s="144"/>
      <c r="AO44" s="144"/>
      <c r="AP44" s="143"/>
      <c r="AQ44" s="143"/>
      <c r="AR44" s="143"/>
      <c r="AS44" s="143"/>
    </row>
    <row r="45" spans="1:55" ht="18" thickTop="1" thickBot="1" x14ac:dyDescent="0.3">
      <c r="A45" s="150" t="s">
        <v>268</v>
      </c>
      <c r="B45" s="150"/>
      <c r="C45" s="150"/>
      <c r="D45" s="150"/>
      <c r="E45" s="150"/>
      <c r="F45" s="149" t="s">
        <v>272</v>
      </c>
      <c r="G45" s="150"/>
      <c r="H45" s="149"/>
      <c r="I45" s="149" t="s">
        <v>275</v>
      </c>
      <c r="J45" s="149"/>
      <c r="K45" s="149"/>
      <c r="L45" s="149"/>
      <c r="M45" s="149"/>
      <c r="N45" s="149" t="s">
        <v>276</v>
      </c>
      <c r="O45" s="149"/>
      <c r="P45" s="149">
        <v>0.8</v>
      </c>
      <c r="Q45" s="149" t="s">
        <v>274</v>
      </c>
      <c r="R45" s="149"/>
      <c r="S45" s="149"/>
      <c r="T45" s="149"/>
      <c r="U45" s="149" t="s">
        <v>273</v>
      </c>
      <c r="V45" s="149"/>
      <c r="W45" s="150"/>
      <c r="X45" s="150"/>
      <c r="Y45" s="150" t="s">
        <v>269</v>
      </c>
      <c r="Z45" s="150" t="s">
        <v>270</v>
      </c>
      <c r="AA45" s="150">
        <v>1E-3</v>
      </c>
      <c r="AB45" s="150">
        <v>6.4999999999999997E-3</v>
      </c>
      <c r="AC45" s="150">
        <v>2E-3</v>
      </c>
      <c r="AD45" s="150" t="s">
        <v>271</v>
      </c>
      <c r="AE45" s="150">
        <v>2E-3</v>
      </c>
      <c r="AF45" s="151">
        <v>0.1</v>
      </c>
      <c r="AG45" s="148">
        <v>10</v>
      </c>
      <c r="AH45" s="148">
        <v>40</v>
      </c>
      <c r="AI45" s="148">
        <v>40</v>
      </c>
      <c r="AJ45" s="151">
        <v>0.3</v>
      </c>
      <c r="AK45" s="151">
        <v>0.25</v>
      </c>
      <c r="AL45" s="148">
        <v>50</v>
      </c>
      <c r="AM45" s="152">
        <v>4000</v>
      </c>
      <c r="AN45" s="152">
        <v>600</v>
      </c>
      <c r="AO45" s="152">
        <v>25</v>
      </c>
      <c r="AP45" s="148"/>
      <c r="AQ45" s="148">
        <v>30</v>
      </c>
      <c r="AR45" s="148"/>
      <c r="AS45" s="223"/>
      <c r="AT45" s="223"/>
      <c r="AU45" s="223"/>
      <c r="AV45" s="223"/>
      <c r="AW45" s="223"/>
      <c r="AX45" s="223"/>
      <c r="AY45" s="223"/>
      <c r="AZ45" s="223"/>
      <c r="BA45" s="223"/>
      <c r="BB45" s="223"/>
      <c r="BC45" s="223"/>
    </row>
    <row r="46" spans="1:55" ht="18" thickTop="1" thickBot="1" x14ac:dyDescent="0.3">
      <c r="B46" s="77"/>
      <c r="C46" s="89"/>
      <c r="D46" s="90"/>
      <c r="E46" s="224"/>
      <c r="F46" s="85"/>
      <c r="H46" s="77"/>
      <c r="K46" s="77"/>
      <c r="L46" s="77"/>
      <c r="O46" s="77"/>
      <c r="P46" s="77"/>
      <c r="Q46" s="77"/>
      <c r="T46" s="77"/>
      <c r="U46" s="77"/>
      <c r="W46" s="85"/>
      <c r="AB46" s="85"/>
      <c r="AC46" s="85"/>
      <c r="AE46" s="85"/>
      <c r="AF46" s="98"/>
      <c r="AG46" s="98"/>
      <c r="AH46" s="98"/>
      <c r="AI46" s="98"/>
      <c r="AJ46" s="98"/>
      <c r="AK46" s="98"/>
      <c r="AL46" s="98"/>
      <c r="AM46" s="98"/>
      <c r="AN46" s="98"/>
      <c r="AO46" s="98"/>
      <c r="AR46" s="98"/>
      <c r="AS46" s="98"/>
      <c r="AT46" s="98"/>
      <c r="AU46" s="98"/>
    </row>
    <row r="47" spans="1:55" ht="18" thickTop="1" thickBot="1" x14ac:dyDescent="0.3">
      <c r="A47" s="98" t="s">
        <v>69</v>
      </c>
      <c r="B47" s="225"/>
      <c r="C47" s="226"/>
      <c r="F47" s="90"/>
      <c r="G47" s="87"/>
      <c r="I47" s="202"/>
      <c r="K47" s="203"/>
      <c r="M47" s="77"/>
      <c r="P47" s="85"/>
      <c r="Q47" s="77"/>
      <c r="V47" s="85"/>
      <c r="X47" s="85"/>
      <c r="AE47" s="85"/>
      <c r="AF47" s="85"/>
      <c r="AG47" s="85"/>
      <c r="AH47" s="85"/>
      <c r="AT47" s="98"/>
      <c r="AU47" s="98"/>
    </row>
    <row r="48" spans="1:55" ht="18" thickTop="1" thickBot="1" x14ac:dyDescent="0.3">
      <c r="A48" s="227" t="s">
        <v>54</v>
      </c>
      <c r="B48" s="228"/>
      <c r="C48" s="229"/>
      <c r="D48" s="229"/>
      <c r="E48" s="229"/>
      <c r="F48" s="229"/>
      <c r="G48" s="230"/>
      <c r="H48" s="185"/>
      <c r="I48" s="156"/>
      <c r="K48" s="158"/>
      <c r="M48" s="77"/>
      <c r="N48" s="75"/>
      <c r="O48" s="161"/>
      <c r="P48" s="85"/>
      <c r="Q48" s="77"/>
      <c r="X48" s="77"/>
      <c r="AA48" s="77"/>
      <c r="AE48" s="85"/>
      <c r="AF48" s="85"/>
      <c r="AG48" s="85"/>
      <c r="AH48" s="85"/>
    </row>
    <row r="49" spans="1:35" ht="17.25" thickTop="1" x14ac:dyDescent="0.25">
      <c r="A49" s="92" t="s">
        <v>55</v>
      </c>
      <c r="B49" s="231" t="s">
        <v>58</v>
      </c>
      <c r="C49" s="85" t="s">
        <v>57</v>
      </c>
      <c r="D49" s="85" t="s">
        <v>56</v>
      </c>
      <c r="E49" s="82" t="s">
        <v>59</v>
      </c>
      <c r="F49" s="85" t="s">
        <v>63</v>
      </c>
      <c r="G49" s="232" t="s">
        <v>62</v>
      </c>
      <c r="I49" s="156"/>
      <c r="K49" s="158"/>
      <c r="M49" s="77"/>
      <c r="N49" s="75"/>
      <c r="O49" s="161"/>
      <c r="P49" s="85"/>
      <c r="Q49" s="77"/>
      <c r="X49" s="77"/>
      <c r="Z49" s="77"/>
      <c r="AA49" s="77"/>
      <c r="AB49" s="77"/>
      <c r="AC49" s="77"/>
      <c r="AD49" s="77"/>
      <c r="AE49" s="77"/>
      <c r="AF49" s="77"/>
      <c r="AG49" s="77"/>
      <c r="AH49" s="77"/>
      <c r="AI49" s="77"/>
    </row>
    <row r="50" spans="1:35" x14ac:dyDescent="0.25">
      <c r="A50" s="88" t="str">
        <f t="shared" ref="A50:A65" si="22">A25</f>
        <v>x</v>
      </c>
      <c r="B50" s="233"/>
      <c r="C50" s="109" t="str">
        <f t="shared" ref="C50:C65" si="23">IF(B50="x",B6,"")</f>
        <v/>
      </c>
      <c r="D50" s="112" t="str">
        <f t="shared" ref="D50:D65" si="24">IF(B50="X",C25/$B$67,"")</f>
        <v/>
      </c>
      <c r="E50" s="126" t="str">
        <f t="shared" ref="E50:E65" si="25">IF(B50="x",$B$47*D50,"")</f>
        <v/>
      </c>
      <c r="F50" s="234" t="str">
        <f t="shared" ref="F50:F65" si="26">IF(B50="x",D50*C50,"")</f>
        <v/>
      </c>
      <c r="G50" s="235" t="str">
        <f t="shared" ref="G50:G65" si="27">IF(B50="x",F50/$F$66,"")</f>
        <v/>
      </c>
      <c r="I50" s="156"/>
      <c r="K50" s="204"/>
      <c r="L50" s="77"/>
      <c r="M50" s="77"/>
      <c r="N50" s="75"/>
      <c r="O50" s="189"/>
      <c r="P50" s="85"/>
      <c r="Q50" s="77"/>
      <c r="Z50" s="85"/>
      <c r="AA50" s="85"/>
      <c r="AE50" s="85"/>
      <c r="AF50" s="85"/>
      <c r="AG50" s="85"/>
      <c r="AH50" s="85"/>
      <c r="AI50" s="85"/>
    </row>
    <row r="51" spans="1:35" x14ac:dyDescent="0.25">
      <c r="A51" s="88" t="str">
        <f t="shared" si="22"/>
        <v>x</v>
      </c>
      <c r="B51" s="233"/>
      <c r="C51" s="109" t="str">
        <f t="shared" si="23"/>
        <v/>
      </c>
      <c r="D51" s="112" t="str">
        <f t="shared" si="24"/>
        <v/>
      </c>
      <c r="E51" s="126" t="str">
        <f t="shared" si="25"/>
        <v/>
      </c>
      <c r="F51" s="234" t="str">
        <f t="shared" si="26"/>
        <v/>
      </c>
      <c r="G51" s="235" t="str">
        <f t="shared" si="27"/>
        <v/>
      </c>
      <c r="K51" s="77"/>
      <c r="L51" s="77"/>
      <c r="M51" s="77"/>
      <c r="N51" s="75"/>
      <c r="O51" s="159"/>
      <c r="P51" s="85"/>
      <c r="Q51" s="77"/>
      <c r="R51" s="85"/>
    </row>
    <row r="52" spans="1:35" x14ac:dyDescent="0.25">
      <c r="A52" s="88" t="str">
        <f t="shared" si="22"/>
        <v>x</v>
      </c>
      <c r="B52" s="233"/>
      <c r="C52" s="109" t="str">
        <f t="shared" si="23"/>
        <v/>
      </c>
      <c r="D52" s="112" t="str">
        <f t="shared" si="24"/>
        <v/>
      </c>
      <c r="E52" s="126" t="str">
        <f t="shared" si="25"/>
        <v/>
      </c>
      <c r="F52" s="234" t="str">
        <f t="shared" si="26"/>
        <v/>
      </c>
      <c r="G52" s="235" t="str">
        <f t="shared" si="27"/>
        <v/>
      </c>
      <c r="K52" s="77"/>
      <c r="L52" s="77"/>
      <c r="M52" s="77"/>
      <c r="N52" s="75"/>
      <c r="O52" s="159"/>
      <c r="P52" s="163"/>
      <c r="Q52" s="77"/>
      <c r="V52" s="124"/>
    </row>
    <row r="53" spans="1:35" x14ac:dyDescent="0.25">
      <c r="A53" s="88" t="str">
        <f t="shared" si="22"/>
        <v>x</v>
      </c>
      <c r="B53" s="233"/>
      <c r="C53" s="109" t="str">
        <f t="shared" si="23"/>
        <v/>
      </c>
      <c r="D53" s="112" t="str">
        <f t="shared" si="24"/>
        <v/>
      </c>
      <c r="E53" s="126" t="str">
        <f t="shared" si="25"/>
        <v/>
      </c>
      <c r="F53" s="234" t="str">
        <f t="shared" si="26"/>
        <v/>
      </c>
      <c r="G53" s="235" t="str">
        <f t="shared" si="27"/>
        <v/>
      </c>
      <c r="I53" s="124"/>
      <c r="K53" s="77"/>
      <c r="L53" s="77"/>
      <c r="M53" s="77"/>
      <c r="N53" s="190"/>
      <c r="O53" s="165"/>
      <c r="P53" s="168"/>
      <c r="Q53" s="124"/>
      <c r="R53" s="124"/>
      <c r="V53" s="124"/>
    </row>
    <row r="54" spans="1:35" x14ac:dyDescent="0.25">
      <c r="A54" s="88" t="str">
        <f t="shared" si="22"/>
        <v>x</v>
      </c>
      <c r="B54" s="233"/>
      <c r="C54" s="109" t="str">
        <f t="shared" si="23"/>
        <v/>
      </c>
      <c r="D54" s="112" t="str">
        <f t="shared" si="24"/>
        <v/>
      </c>
      <c r="E54" s="126" t="str">
        <f t="shared" si="25"/>
        <v/>
      </c>
      <c r="F54" s="234" t="str">
        <f t="shared" si="26"/>
        <v/>
      </c>
      <c r="G54" s="235" t="str">
        <f t="shared" si="27"/>
        <v/>
      </c>
      <c r="I54" s="124"/>
      <c r="J54" s="124"/>
      <c r="K54" s="124"/>
      <c r="L54" s="124"/>
      <c r="M54" s="124"/>
      <c r="P54" s="124"/>
      <c r="Q54" s="124"/>
      <c r="R54" s="124"/>
      <c r="V54" s="124"/>
    </row>
    <row r="55" spans="1:35" x14ac:dyDescent="0.25">
      <c r="A55" s="88" t="str">
        <f t="shared" si="22"/>
        <v>x</v>
      </c>
      <c r="B55" s="233"/>
      <c r="C55" s="109" t="str">
        <f t="shared" si="23"/>
        <v/>
      </c>
      <c r="D55" s="112" t="str">
        <f t="shared" si="24"/>
        <v/>
      </c>
      <c r="E55" s="126" t="str">
        <f t="shared" si="25"/>
        <v/>
      </c>
      <c r="F55" s="234" t="str">
        <f t="shared" si="26"/>
        <v/>
      </c>
      <c r="G55" s="235" t="str">
        <f t="shared" si="27"/>
        <v/>
      </c>
      <c r="I55" s="124"/>
      <c r="J55" s="124"/>
      <c r="K55" s="124"/>
      <c r="L55" s="124"/>
      <c r="M55" s="124"/>
      <c r="P55" s="124"/>
      <c r="Q55" s="124"/>
      <c r="R55" s="124"/>
      <c r="V55" s="124"/>
    </row>
    <row r="56" spans="1:35" x14ac:dyDescent="0.25">
      <c r="A56" s="88" t="str">
        <f t="shared" si="22"/>
        <v>x</v>
      </c>
      <c r="B56" s="233"/>
      <c r="C56" s="109" t="str">
        <f t="shared" si="23"/>
        <v/>
      </c>
      <c r="D56" s="112" t="str">
        <f t="shared" si="24"/>
        <v/>
      </c>
      <c r="E56" s="126" t="str">
        <f t="shared" si="25"/>
        <v/>
      </c>
      <c r="F56" s="234" t="str">
        <f t="shared" si="26"/>
        <v/>
      </c>
      <c r="G56" s="235" t="str">
        <f t="shared" si="27"/>
        <v/>
      </c>
      <c r="I56" s="124"/>
      <c r="J56" s="124"/>
      <c r="K56" s="124"/>
      <c r="L56" s="124"/>
      <c r="M56" s="124"/>
      <c r="P56" s="124"/>
      <c r="Q56" s="124"/>
      <c r="R56" s="124"/>
      <c r="V56" s="124"/>
    </row>
    <row r="57" spans="1:35" x14ac:dyDescent="0.25">
      <c r="A57" s="88" t="str">
        <f t="shared" si="22"/>
        <v>x</v>
      </c>
      <c r="B57" s="233"/>
      <c r="C57" s="109" t="str">
        <f t="shared" si="23"/>
        <v/>
      </c>
      <c r="D57" s="112" t="str">
        <f t="shared" si="24"/>
        <v/>
      </c>
      <c r="E57" s="126" t="str">
        <f t="shared" si="25"/>
        <v/>
      </c>
      <c r="F57" s="234" t="str">
        <f t="shared" si="26"/>
        <v/>
      </c>
      <c r="G57" s="235" t="str">
        <f t="shared" si="27"/>
        <v/>
      </c>
      <c r="I57" s="168"/>
      <c r="J57" s="168"/>
      <c r="K57" s="168"/>
      <c r="L57" s="168"/>
      <c r="M57" s="168"/>
      <c r="P57" s="168"/>
      <c r="Q57" s="168"/>
      <c r="R57" s="168"/>
      <c r="V57" s="168"/>
    </row>
    <row r="58" spans="1:35" x14ac:dyDescent="0.25">
      <c r="A58" s="88" t="str">
        <f t="shared" si="22"/>
        <v>x</v>
      </c>
      <c r="B58" s="233"/>
      <c r="C58" s="109" t="str">
        <f t="shared" si="23"/>
        <v/>
      </c>
      <c r="D58" s="112" t="str">
        <f t="shared" si="24"/>
        <v/>
      </c>
      <c r="E58" s="126" t="str">
        <f t="shared" si="25"/>
        <v/>
      </c>
      <c r="F58" s="234" t="str">
        <f t="shared" si="26"/>
        <v/>
      </c>
      <c r="G58" s="235" t="str">
        <f t="shared" si="27"/>
        <v/>
      </c>
      <c r="I58" s="168"/>
      <c r="K58" s="124"/>
      <c r="L58" s="124"/>
      <c r="M58" s="124"/>
      <c r="P58" s="124"/>
      <c r="Q58" s="124"/>
      <c r="R58" s="124"/>
      <c r="V58" s="124"/>
    </row>
    <row r="59" spans="1:35" x14ac:dyDescent="0.25">
      <c r="A59" s="88" t="str">
        <f t="shared" si="22"/>
        <v>x</v>
      </c>
      <c r="B59" s="233"/>
      <c r="C59" s="109" t="str">
        <f t="shared" si="23"/>
        <v/>
      </c>
      <c r="D59" s="112" t="str">
        <f t="shared" si="24"/>
        <v/>
      </c>
      <c r="E59" s="126" t="str">
        <f t="shared" si="25"/>
        <v/>
      </c>
      <c r="F59" s="234" t="str">
        <f t="shared" si="26"/>
        <v/>
      </c>
      <c r="G59" s="235" t="str">
        <f t="shared" si="27"/>
        <v/>
      </c>
      <c r="I59" s="168"/>
      <c r="J59" s="169"/>
      <c r="K59" s="124"/>
      <c r="L59" s="124"/>
      <c r="M59" s="124"/>
      <c r="P59" s="124"/>
      <c r="R59" s="124"/>
      <c r="V59" s="124"/>
    </row>
    <row r="60" spans="1:35" x14ac:dyDescent="0.25">
      <c r="A60" s="88" t="str">
        <f t="shared" si="22"/>
        <v>x</v>
      </c>
      <c r="B60" s="233"/>
      <c r="C60" s="109" t="str">
        <f t="shared" si="23"/>
        <v/>
      </c>
      <c r="D60" s="112" t="str">
        <f t="shared" si="24"/>
        <v/>
      </c>
      <c r="E60" s="126" t="str">
        <f t="shared" si="25"/>
        <v/>
      </c>
      <c r="F60" s="234" t="str">
        <f t="shared" si="26"/>
        <v/>
      </c>
      <c r="G60" s="235" t="str">
        <f t="shared" si="27"/>
        <v/>
      </c>
      <c r="H60" s="236"/>
      <c r="I60" s="170"/>
      <c r="J60" s="169"/>
      <c r="K60" s="170"/>
      <c r="L60" s="170"/>
      <c r="M60" s="170"/>
      <c r="P60" s="170"/>
      <c r="R60" s="124"/>
      <c r="V60" s="170"/>
    </row>
    <row r="61" spans="1:35" x14ac:dyDescent="0.25">
      <c r="A61" s="88" t="str">
        <f t="shared" si="22"/>
        <v>x</v>
      </c>
      <c r="B61" s="233"/>
      <c r="C61" s="109" t="str">
        <f t="shared" si="23"/>
        <v/>
      </c>
      <c r="D61" s="112" t="str">
        <f t="shared" si="24"/>
        <v/>
      </c>
      <c r="E61" s="126" t="str">
        <f t="shared" si="25"/>
        <v/>
      </c>
      <c r="F61" s="234" t="str">
        <f t="shared" si="26"/>
        <v/>
      </c>
      <c r="G61" s="235" t="str">
        <f t="shared" si="27"/>
        <v/>
      </c>
      <c r="I61" s="170"/>
      <c r="J61" s="169"/>
      <c r="K61" s="170"/>
      <c r="L61" s="170"/>
      <c r="M61" s="170"/>
      <c r="P61" s="170"/>
      <c r="R61" s="124"/>
      <c r="U61" s="170"/>
      <c r="V61" s="170"/>
    </row>
    <row r="62" spans="1:35" x14ac:dyDescent="0.25">
      <c r="A62" s="88" t="str">
        <f t="shared" si="22"/>
        <v>x</v>
      </c>
      <c r="B62" s="233"/>
      <c r="C62" s="109" t="str">
        <f t="shared" si="23"/>
        <v/>
      </c>
      <c r="D62" s="112" t="str">
        <f t="shared" si="24"/>
        <v/>
      </c>
      <c r="E62" s="126" t="str">
        <f t="shared" si="25"/>
        <v/>
      </c>
      <c r="F62" s="234" t="str">
        <f t="shared" si="26"/>
        <v/>
      </c>
      <c r="G62" s="235" t="str">
        <f t="shared" si="27"/>
        <v/>
      </c>
      <c r="I62" s="170"/>
      <c r="J62" s="169"/>
      <c r="K62" s="170"/>
      <c r="L62" s="170"/>
      <c r="M62" s="170"/>
      <c r="P62" s="170"/>
      <c r="R62" s="124"/>
      <c r="U62" s="170"/>
      <c r="V62" s="170"/>
    </row>
    <row r="63" spans="1:35" x14ac:dyDescent="0.25">
      <c r="A63" s="88" t="str">
        <f t="shared" si="22"/>
        <v>x</v>
      </c>
      <c r="B63" s="233"/>
      <c r="C63" s="109" t="str">
        <f t="shared" si="23"/>
        <v/>
      </c>
      <c r="D63" s="112" t="str">
        <f t="shared" si="24"/>
        <v/>
      </c>
      <c r="E63" s="126" t="str">
        <f t="shared" si="25"/>
        <v/>
      </c>
      <c r="F63" s="234" t="str">
        <f t="shared" si="26"/>
        <v/>
      </c>
      <c r="G63" s="235" t="str">
        <f t="shared" si="27"/>
        <v/>
      </c>
      <c r="I63" s="170"/>
      <c r="J63" s="169"/>
      <c r="K63" s="170"/>
      <c r="L63" s="170"/>
      <c r="M63" s="170"/>
      <c r="P63" s="170"/>
      <c r="Q63" s="170"/>
      <c r="R63" s="124"/>
      <c r="S63" s="170"/>
      <c r="T63" s="170"/>
      <c r="U63" s="170"/>
      <c r="V63" s="170"/>
    </row>
    <row r="64" spans="1:35" x14ac:dyDescent="0.25">
      <c r="A64" s="88" t="str">
        <f t="shared" si="22"/>
        <v>x</v>
      </c>
      <c r="B64" s="233"/>
      <c r="C64" s="109" t="str">
        <f t="shared" si="23"/>
        <v/>
      </c>
      <c r="D64" s="112" t="str">
        <f t="shared" si="24"/>
        <v/>
      </c>
      <c r="E64" s="126" t="str">
        <f t="shared" si="25"/>
        <v/>
      </c>
      <c r="F64" s="234" t="str">
        <f t="shared" si="26"/>
        <v/>
      </c>
      <c r="G64" s="235" t="str">
        <f t="shared" si="27"/>
        <v/>
      </c>
      <c r="I64" s="170"/>
      <c r="J64" s="169"/>
      <c r="K64" s="170"/>
      <c r="L64" s="170"/>
      <c r="M64" s="170"/>
      <c r="P64" s="170"/>
      <c r="Q64" s="170"/>
      <c r="R64" s="124"/>
      <c r="S64" s="170"/>
      <c r="T64" s="170"/>
      <c r="U64" s="170"/>
      <c r="V64" s="170"/>
    </row>
    <row r="65" spans="1:48" s="87" customFormat="1" ht="17.25" thickBot="1" x14ac:dyDescent="0.3">
      <c r="A65" s="88" t="str">
        <f t="shared" si="22"/>
        <v>x</v>
      </c>
      <c r="B65" s="237"/>
      <c r="C65" s="109" t="str">
        <f t="shared" si="23"/>
        <v/>
      </c>
      <c r="D65" s="112" t="str">
        <f t="shared" si="24"/>
        <v/>
      </c>
      <c r="E65" s="126" t="str">
        <f t="shared" si="25"/>
        <v/>
      </c>
      <c r="F65" s="234" t="str">
        <f t="shared" si="26"/>
        <v/>
      </c>
      <c r="G65" s="235" t="str">
        <f t="shared" si="27"/>
        <v/>
      </c>
      <c r="H65" s="90"/>
      <c r="I65" s="170"/>
      <c r="J65" s="171"/>
      <c r="K65" s="170"/>
      <c r="L65" s="170"/>
      <c r="M65" s="170"/>
      <c r="P65" s="170"/>
      <c r="Q65" s="170"/>
      <c r="R65" s="124"/>
      <c r="S65" s="170"/>
      <c r="T65" s="170"/>
      <c r="U65" s="170"/>
      <c r="V65" s="170"/>
      <c r="AJ65" s="77"/>
      <c r="AK65" s="77"/>
      <c r="AL65" s="77"/>
      <c r="AM65" s="77"/>
      <c r="AN65" s="77"/>
      <c r="AO65" s="77"/>
      <c r="AP65" s="77"/>
      <c r="AQ65" s="77"/>
      <c r="AR65" s="77"/>
      <c r="AS65" s="77"/>
      <c r="AT65" s="77"/>
      <c r="AU65" s="77"/>
      <c r="AV65" s="77"/>
    </row>
    <row r="66" spans="1:48" s="87" customFormat="1" ht="18" thickTop="1" thickBot="1" x14ac:dyDescent="0.3">
      <c r="A66" s="238" t="s">
        <v>32</v>
      </c>
      <c r="B66" s="239"/>
      <c r="C66" s="240"/>
      <c r="D66" s="241">
        <f>SUM(D50:D65)</f>
        <v>0</v>
      </c>
      <c r="E66" s="242">
        <f>SUM(E50:E65)</f>
        <v>0</v>
      </c>
      <c r="F66" s="243">
        <f>SUM(F50:F65)</f>
        <v>0</v>
      </c>
      <c r="G66" s="244">
        <f>SUM(G50:G65)</f>
        <v>0</v>
      </c>
      <c r="H66" s="90"/>
      <c r="I66" s="170"/>
      <c r="J66" s="172"/>
      <c r="K66" s="170"/>
      <c r="L66" s="170"/>
      <c r="M66" s="170"/>
      <c r="P66" s="170"/>
      <c r="Q66" s="170"/>
      <c r="R66" s="170"/>
      <c r="S66" s="170"/>
      <c r="T66" s="170"/>
      <c r="U66" s="170"/>
      <c r="V66" s="170"/>
      <c r="AJ66" s="77"/>
      <c r="AK66" s="77"/>
      <c r="AL66" s="77"/>
      <c r="AM66" s="77"/>
      <c r="AN66" s="77"/>
      <c r="AO66" s="77"/>
      <c r="AP66" s="77"/>
      <c r="AQ66" s="77"/>
      <c r="AR66" s="77"/>
      <c r="AS66" s="77"/>
      <c r="AT66" s="77"/>
      <c r="AU66" s="77"/>
      <c r="AV66" s="77"/>
    </row>
    <row r="67" spans="1:48" s="87" customFormat="1" x14ac:dyDescent="0.25">
      <c r="A67" s="98" t="s">
        <v>61</v>
      </c>
      <c r="B67" s="82">
        <f>SUMIF(B50:B65,"x",C25:C40)</f>
        <v>0</v>
      </c>
      <c r="E67" s="113"/>
      <c r="G67" s="113"/>
      <c r="H67" s="90"/>
      <c r="I67" s="170"/>
      <c r="J67" s="170"/>
      <c r="K67" s="170"/>
      <c r="L67" s="170"/>
      <c r="M67" s="170"/>
      <c r="P67" s="170"/>
      <c r="Q67" s="170"/>
      <c r="R67" s="170"/>
      <c r="S67" s="170"/>
      <c r="T67" s="170"/>
      <c r="U67" s="170"/>
      <c r="V67" s="170"/>
      <c r="AJ67" s="77"/>
      <c r="AK67" s="77"/>
      <c r="AL67" s="77"/>
      <c r="AM67" s="77"/>
      <c r="AN67" s="77"/>
      <c r="AO67" s="77"/>
      <c r="AP67" s="77"/>
      <c r="AQ67" s="77"/>
      <c r="AR67" s="77"/>
      <c r="AS67" s="77"/>
      <c r="AT67" s="77"/>
      <c r="AU67" s="77"/>
      <c r="AV67" s="77"/>
    </row>
    <row r="68" spans="1:48" s="87" customFormat="1" x14ac:dyDescent="0.25">
      <c r="A68" s="77"/>
      <c r="E68" s="113"/>
      <c r="G68" s="113"/>
      <c r="H68" s="90"/>
      <c r="I68" s="170"/>
      <c r="J68" s="170"/>
      <c r="K68" s="170"/>
      <c r="L68" s="170"/>
      <c r="M68" s="170"/>
      <c r="P68" s="170"/>
      <c r="Q68" s="170"/>
      <c r="R68" s="170"/>
      <c r="S68" s="170"/>
      <c r="T68" s="170"/>
      <c r="U68" s="170"/>
      <c r="V68" s="170"/>
      <c r="AJ68" s="77"/>
      <c r="AK68" s="77"/>
      <c r="AL68" s="77"/>
      <c r="AM68" s="77"/>
      <c r="AN68" s="77"/>
      <c r="AO68" s="77"/>
      <c r="AP68" s="77"/>
      <c r="AQ68" s="77"/>
      <c r="AR68" s="77"/>
      <c r="AS68" s="77"/>
      <c r="AT68" s="77"/>
      <c r="AU68" s="77"/>
      <c r="AV68" s="77"/>
    </row>
    <row r="69" spans="1:48" s="87" customFormat="1" x14ac:dyDescent="0.25">
      <c r="A69" s="93"/>
      <c r="B69" s="111"/>
      <c r="E69" s="113"/>
      <c r="G69" s="113"/>
      <c r="H69" s="90"/>
      <c r="AJ69" s="77"/>
      <c r="AK69" s="77"/>
      <c r="AL69" s="77"/>
      <c r="AM69" s="77"/>
      <c r="AN69" s="77"/>
      <c r="AO69" s="77"/>
      <c r="AP69" s="77"/>
      <c r="AQ69" s="77"/>
      <c r="AR69" s="77"/>
      <c r="AS69" s="77"/>
      <c r="AT69" s="77"/>
      <c r="AU69" s="77"/>
      <c r="AV69" s="77"/>
    </row>
    <row r="70" spans="1:48" s="87" customFormat="1" x14ac:dyDescent="0.25">
      <c r="A70" s="96"/>
      <c r="B70" s="112"/>
      <c r="E70" s="113"/>
      <c r="G70" s="113"/>
      <c r="H70" s="90"/>
      <c r="AJ70" s="77"/>
      <c r="AK70" s="77"/>
      <c r="AL70" s="77"/>
      <c r="AM70" s="77"/>
      <c r="AN70" s="77"/>
      <c r="AO70" s="77"/>
      <c r="AP70" s="77"/>
      <c r="AQ70" s="77"/>
      <c r="AR70" s="77"/>
      <c r="AS70" s="77"/>
      <c r="AT70" s="77"/>
      <c r="AU70" s="77"/>
      <c r="AV70" s="77"/>
    </row>
    <row r="71" spans="1:48" s="87" customFormat="1" x14ac:dyDescent="0.25">
      <c r="A71" s="96"/>
      <c r="B71" s="112"/>
      <c r="E71" s="113"/>
      <c r="G71" s="113"/>
      <c r="H71" s="90"/>
      <c r="AJ71" s="77"/>
      <c r="AK71" s="77"/>
      <c r="AL71" s="77"/>
      <c r="AM71" s="77"/>
      <c r="AN71" s="77"/>
      <c r="AO71" s="77"/>
      <c r="AP71" s="77"/>
      <c r="AQ71" s="77"/>
      <c r="AR71" s="77"/>
      <c r="AS71" s="77"/>
      <c r="AT71" s="77"/>
      <c r="AU71" s="77"/>
      <c r="AV71" s="77"/>
    </row>
    <row r="72" spans="1:48" s="87" customFormat="1" x14ac:dyDescent="0.25">
      <c r="A72" s="96"/>
      <c r="B72" s="112"/>
      <c r="E72" s="113"/>
      <c r="G72" s="113"/>
      <c r="H72" s="90"/>
      <c r="AJ72" s="77"/>
      <c r="AK72" s="77"/>
      <c r="AL72" s="77"/>
      <c r="AM72" s="77"/>
      <c r="AN72" s="77"/>
      <c r="AO72" s="77"/>
      <c r="AP72" s="77"/>
      <c r="AQ72" s="77"/>
      <c r="AR72" s="77"/>
      <c r="AS72" s="77"/>
      <c r="AT72" s="77"/>
      <c r="AU72" s="77"/>
      <c r="AV72" s="77"/>
    </row>
    <row r="73" spans="1:48" s="87" customFormat="1" x14ac:dyDescent="0.25">
      <c r="A73" s="96"/>
      <c r="B73" s="112"/>
      <c r="E73" s="113"/>
      <c r="G73" s="113"/>
      <c r="H73" s="90"/>
      <c r="AJ73" s="77"/>
      <c r="AK73" s="77"/>
      <c r="AL73" s="77"/>
      <c r="AM73" s="77"/>
      <c r="AN73" s="77"/>
      <c r="AO73" s="77"/>
      <c r="AP73" s="77"/>
      <c r="AQ73" s="77"/>
      <c r="AR73" s="77"/>
      <c r="AS73" s="77"/>
      <c r="AT73" s="77"/>
      <c r="AU73" s="77"/>
      <c r="AV73" s="77"/>
    </row>
    <row r="74" spans="1:48" s="87" customFormat="1" x14ac:dyDescent="0.25">
      <c r="A74" s="97"/>
      <c r="B74" s="90"/>
      <c r="E74" s="113"/>
      <c r="G74" s="113"/>
      <c r="H74" s="90"/>
      <c r="AJ74" s="77"/>
      <c r="AK74" s="77"/>
      <c r="AL74" s="77"/>
      <c r="AM74" s="77"/>
      <c r="AN74" s="77"/>
      <c r="AO74" s="77"/>
      <c r="AP74" s="77"/>
      <c r="AQ74" s="77"/>
      <c r="AR74" s="77"/>
      <c r="AS74" s="77"/>
      <c r="AT74" s="77"/>
      <c r="AU74" s="77"/>
      <c r="AV74" s="77"/>
    </row>
    <row r="75" spans="1:48" s="87" customFormat="1" x14ac:dyDescent="0.25">
      <c r="A75" s="97"/>
      <c r="B75" s="113"/>
      <c r="E75" s="113"/>
      <c r="G75" s="113"/>
      <c r="H75" s="90"/>
      <c r="AJ75" s="77"/>
      <c r="AK75" s="77"/>
      <c r="AL75" s="77"/>
      <c r="AM75" s="77"/>
      <c r="AN75" s="77"/>
      <c r="AO75" s="77"/>
      <c r="AP75" s="77"/>
      <c r="AQ75" s="77"/>
      <c r="AR75" s="77"/>
      <c r="AS75" s="77"/>
      <c r="AT75" s="77"/>
      <c r="AU75" s="77"/>
      <c r="AV75" s="77"/>
    </row>
    <row r="76" spans="1:48" s="87" customFormat="1" x14ac:dyDescent="0.25">
      <c r="A76" s="97"/>
      <c r="B76" s="90"/>
      <c r="E76" s="113"/>
      <c r="G76" s="113"/>
      <c r="H76" s="90"/>
      <c r="AJ76" s="77"/>
      <c r="AK76" s="77"/>
      <c r="AL76" s="77"/>
      <c r="AM76" s="77"/>
      <c r="AN76" s="77"/>
      <c r="AO76" s="77"/>
      <c r="AP76" s="77"/>
      <c r="AQ76" s="77"/>
      <c r="AR76" s="77"/>
      <c r="AS76" s="77"/>
      <c r="AT76" s="77"/>
      <c r="AU76" s="77"/>
      <c r="AV76" s="77"/>
    </row>
    <row r="77" spans="1:48" s="87" customFormat="1" x14ac:dyDescent="0.25">
      <c r="A77" s="97"/>
      <c r="B77" s="90"/>
      <c r="E77" s="113"/>
      <c r="G77" s="113"/>
      <c r="H77" s="90"/>
      <c r="AJ77" s="77"/>
      <c r="AK77" s="77"/>
      <c r="AL77" s="77"/>
      <c r="AM77" s="77"/>
      <c r="AN77" s="77"/>
      <c r="AO77" s="77"/>
      <c r="AP77" s="77"/>
      <c r="AQ77" s="77"/>
      <c r="AR77" s="77"/>
      <c r="AS77" s="77"/>
      <c r="AT77" s="77"/>
      <c r="AU77" s="77"/>
      <c r="AV77" s="77"/>
    </row>
    <row r="78" spans="1:48" s="87" customFormat="1" x14ac:dyDescent="0.25">
      <c r="A78" s="97"/>
      <c r="B78" s="113"/>
      <c r="E78" s="113"/>
      <c r="G78" s="113"/>
      <c r="H78" s="90"/>
      <c r="AJ78" s="77"/>
      <c r="AK78" s="77"/>
      <c r="AL78" s="77"/>
      <c r="AM78" s="77"/>
      <c r="AN78" s="77"/>
      <c r="AO78" s="77"/>
      <c r="AP78" s="77"/>
      <c r="AQ78" s="77"/>
      <c r="AR78" s="77"/>
      <c r="AS78" s="77"/>
      <c r="AT78" s="77"/>
      <c r="AU78" s="77"/>
      <c r="AV78" s="77"/>
    </row>
  </sheetData>
  <sheetProtection sheet="1" objects="1" scenarios="1"/>
  <mergeCells count="1">
    <mergeCell ref="A1:A2"/>
  </mergeCells>
  <dataValidations count="1">
    <dataValidation type="list" allowBlank="1" showInputMessage="1" showErrorMessage="1" sqref="A6:A21" xr:uid="{00000000-0002-0000-0600-000000000000}">
      <formula1>alimentos</formula1>
    </dataValidation>
  </dataValidations>
  <pageMargins left="0.78740157499999996" right="0.78740157499999996" top="0.984251969" bottom="0.984251969" header="0.49212598499999999" footer="0.49212598499999999"/>
  <pageSetup paperSize="9"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9B5D1-5399-4477-A932-652219E22D52}">
  <dimension ref="A5:AG14"/>
  <sheetViews>
    <sheetView zoomScaleNormal="100" workbookViewId="0">
      <selection activeCell="D6" sqref="D6"/>
    </sheetView>
  </sheetViews>
  <sheetFormatPr defaultRowHeight="12.75" x14ac:dyDescent="0.2"/>
  <cols>
    <col min="1" max="1" width="39.85546875" style="247" bestFit="1" customWidth="1"/>
    <col min="2" max="2" width="12.140625" style="247" bestFit="1" customWidth="1"/>
    <col min="3" max="5" width="9.140625" style="247"/>
    <col min="6" max="6" width="10.85546875" style="247" bestFit="1" customWidth="1"/>
    <col min="7" max="19" width="9.140625" style="247"/>
    <col min="20" max="26" width="19.140625" style="247" bestFit="1" customWidth="1"/>
    <col min="27" max="29" width="9.140625" style="247"/>
    <col min="30" max="32" width="19.140625" style="247" bestFit="1" customWidth="1"/>
    <col min="33" max="33" width="13.140625" style="247" bestFit="1" customWidth="1"/>
    <col min="34" max="16384" width="9.140625" style="247"/>
  </cols>
  <sheetData>
    <row r="5" spans="1:33" x14ac:dyDescent="0.2">
      <c r="B5" s="250" t="s">
        <v>339</v>
      </c>
      <c r="C5" s="2" t="s">
        <v>8</v>
      </c>
      <c r="D5" s="2" t="s">
        <v>10</v>
      </c>
      <c r="E5" s="2" t="s">
        <v>13</v>
      </c>
      <c r="F5" s="251" t="s">
        <v>14</v>
      </c>
      <c r="G5" s="252" t="s">
        <v>15</v>
      </c>
      <c r="H5" s="252" t="s">
        <v>115</v>
      </c>
      <c r="I5" s="253" t="s">
        <v>17</v>
      </c>
      <c r="J5" s="252" t="s">
        <v>99</v>
      </c>
      <c r="K5" s="254" t="s">
        <v>19</v>
      </c>
      <c r="L5" s="254" t="s">
        <v>20</v>
      </c>
      <c r="M5" s="254" t="s">
        <v>21</v>
      </c>
      <c r="N5" s="254" t="s">
        <v>22</v>
      </c>
      <c r="O5" s="254" t="s">
        <v>23</v>
      </c>
      <c r="P5" s="254" t="s">
        <v>24</v>
      </c>
      <c r="Q5" s="254" t="s">
        <v>25</v>
      </c>
      <c r="R5" s="254" t="s">
        <v>26</v>
      </c>
      <c r="S5" s="254" t="s">
        <v>27</v>
      </c>
      <c r="T5" s="255" t="s">
        <v>37</v>
      </c>
      <c r="U5" s="255" t="s">
        <v>38</v>
      </c>
      <c r="V5" s="255" t="s">
        <v>41</v>
      </c>
      <c r="W5" s="255" t="s">
        <v>43</v>
      </c>
      <c r="X5" s="255" t="s">
        <v>42</v>
      </c>
      <c r="Y5" s="255" t="s">
        <v>40</v>
      </c>
      <c r="Z5" s="255" t="s">
        <v>39</v>
      </c>
      <c r="AA5" s="255" t="s">
        <v>44</v>
      </c>
      <c r="AB5" s="255" t="s">
        <v>45</v>
      </c>
      <c r="AC5" s="255" t="s">
        <v>46</v>
      </c>
      <c r="AD5" s="255" t="s">
        <v>47</v>
      </c>
      <c r="AE5" s="255" t="s">
        <v>48</v>
      </c>
      <c r="AF5" s="255" t="s">
        <v>170</v>
      </c>
      <c r="AG5" s="255" t="s">
        <v>171</v>
      </c>
    </row>
    <row r="6" spans="1:33" x14ac:dyDescent="0.2">
      <c r="A6" s="250" t="s">
        <v>337</v>
      </c>
      <c r="B6" s="250" t="s">
        <v>335</v>
      </c>
      <c r="C6" s="250" t="s">
        <v>335</v>
      </c>
      <c r="D6" s="250" t="s">
        <v>335</v>
      </c>
      <c r="E6" s="250" t="s">
        <v>335</v>
      </c>
      <c r="F6" s="252" t="s">
        <v>4</v>
      </c>
      <c r="G6" s="252" t="s">
        <v>335</v>
      </c>
      <c r="H6" s="250" t="s">
        <v>335</v>
      </c>
      <c r="I6" s="250" t="s">
        <v>335</v>
      </c>
      <c r="J6" s="250" t="s">
        <v>335</v>
      </c>
      <c r="K6" s="250" t="s">
        <v>335</v>
      </c>
      <c r="L6" s="250" t="s">
        <v>335</v>
      </c>
      <c r="M6" s="250" t="s">
        <v>335</v>
      </c>
      <c r="N6" s="250" t="s">
        <v>335</v>
      </c>
      <c r="O6" s="250" t="s">
        <v>335</v>
      </c>
      <c r="P6" s="250" t="s">
        <v>335</v>
      </c>
      <c r="Q6" s="250" t="s">
        <v>335</v>
      </c>
      <c r="R6" s="250" t="s">
        <v>335</v>
      </c>
      <c r="S6" s="250" t="s">
        <v>335</v>
      </c>
      <c r="T6" s="2" t="s">
        <v>336</v>
      </c>
      <c r="U6" s="2" t="s">
        <v>336</v>
      </c>
      <c r="V6" s="2" t="s">
        <v>336</v>
      </c>
      <c r="W6" s="2" t="s">
        <v>336</v>
      </c>
      <c r="X6" s="2" t="s">
        <v>336</v>
      </c>
      <c r="Y6" s="2" t="s">
        <v>336</v>
      </c>
      <c r="Z6" s="2" t="s">
        <v>336</v>
      </c>
      <c r="AA6" s="2" t="s">
        <v>36</v>
      </c>
      <c r="AB6" s="2" t="s">
        <v>36</v>
      </c>
      <c r="AC6" s="2" t="s">
        <v>36</v>
      </c>
      <c r="AD6" s="2" t="s">
        <v>336</v>
      </c>
      <c r="AE6" s="2" t="s">
        <v>336</v>
      </c>
      <c r="AF6" s="2" t="s">
        <v>336</v>
      </c>
      <c r="AG6" s="2" t="s">
        <v>172</v>
      </c>
    </row>
    <row r="7" spans="1:33" x14ac:dyDescent="0.2">
      <c r="A7" s="250" t="s">
        <v>338</v>
      </c>
      <c r="B7" s="261">
        <v>130</v>
      </c>
      <c r="C7" s="261">
        <v>240</v>
      </c>
      <c r="D7" s="261">
        <v>129</v>
      </c>
      <c r="E7" s="261">
        <v>108</v>
      </c>
      <c r="F7" s="261">
        <v>2</v>
      </c>
      <c r="G7" s="261"/>
      <c r="H7" s="261">
        <v>27</v>
      </c>
      <c r="I7" s="261">
        <v>105</v>
      </c>
      <c r="J7" s="261"/>
      <c r="K7" s="261"/>
      <c r="L7" s="261"/>
      <c r="M7" s="261">
        <v>11.5</v>
      </c>
      <c r="N7" s="261">
        <v>4.4800000000000004</v>
      </c>
      <c r="O7" s="261">
        <v>3.21</v>
      </c>
      <c r="P7" s="261"/>
      <c r="Q7" s="261">
        <v>2.1</v>
      </c>
      <c r="R7" s="261">
        <v>2.67</v>
      </c>
      <c r="S7" s="261"/>
      <c r="T7" s="261">
        <v>1.83</v>
      </c>
      <c r="U7" s="261">
        <v>31</v>
      </c>
      <c r="V7" s="261">
        <v>120</v>
      </c>
      <c r="W7" s="261">
        <v>113</v>
      </c>
      <c r="X7" s="261">
        <v>0.67</v>
      </c>
      <c r="Y7" s="261">
        <v>1.25</v>
      </c>
      <c r="Z7" s="261"/>
      <c r="AA7" s="261">
        <v>8000</v>
      </c>
      <c r="AB7" s="261">
        <v>2000</v>
      </c>
      <c r="AC7" s="261">
        <v>35</v>
      </c>
      <c r="AD7" s="261"/>
      <c r="AE7" s="261">
        <v>50</v>
      </c>
      <c r="AF7" s="261"/>
      <c r="AG7" s="261"/>
    </row>
    <row r="8" spans="1:33" hidden="1" x14ac:dyDescent="0.2">
      <c r="B8" s="248">
        <f>B7/10</f>
        <v>13</v>
      </c>
      <c r="C8" s="248">
        <f>C7/10</f>
        <v>24</v>
      </c>
      <c r="D8" s="248">
        <f>D7/10</f>
        <v>12.9</v>
      </c>
      <c r="E8" s="248">
        <f>E7/10</f>
        <v>10.8</v>
      </c>
      <c r="F8" s="248"/>
      <c r="G8" s="248">
        <f>G7/10</f>
        <v>0</v>
      </c>
      <c r="H8" s="248">
        <f>H7/10</f>
        <v>2.7</v>
      </c>
      <c r="I8" s="248">
        <f>I7/10</f>
        <v>10.5</v>
      </c>
      <c r="J8" s="248">
        <f>J7/10</f>
        <v>0</v>
      </c>
      <c r="K8" s="248">
        <f>K7/10</f>
        <v>0</v>
      </c>
      <c r="L8" s="248">
        <f>L7/10</f>
        <v>0</v>
      </c>
      <c r="M8" s="248">
        <f>M7/10</f>
        <v>1.1499999999999999</v>
      </c>
      <c r="N8" s="248">
        <f>N7/10</f>
        <v>0.44800000000000006</v>
      </c>
      <c r="O8" s="248">
        <f>O7/10</f>
        <v>0.32100000000000001</v>
      </c>
      <c r="P8" s="248">
        <f>P7/10</f>
        <v>0</v>
      </c>
      <c r="Q8" s="248">
        <f>Q7/10</f>
        <v>0.21000000000000002</v>
      </c>
      <c r="R8" s="248">
        <f>R7/10</f>
        <v>0.26700000000000002</v>
      </c>
      <c r="S8" s="248">
        <f>S7/10</f>
        <v>0</v>
      </c>
      <c r="T8" s="248">
        <f>T7</f>
        <v>1.83</v>
      </c>
      <c r="U8" s="248">
        <f t="shared" ref="U8:Z8" si="0">U7</f>
        <v>31</v>
      </c>
      <c r="V8" s="248">
        <f t="shared" si="0"/>
        <v>120</v>
      </c>
      <c r="W8" s="248">
        <f t="shared" si="0"/>
        <v>113</v>
      </c>
      <c r="X8" s="248">
        <f t="shared" si="0"/>
        <v>0.67</v>
      </c>
      <c r="Y8" s="248">
        <f t="shared" si="0"/>
        <v>1.25</v>
      </c>
      <c r="Z8" s="248">
        <f t="shared" si="0"/>
        <v>0</v>
      </c>
      <c r="AA8" s="248"/>
      <c r="AB8" s="248"/>
      <c r="AC8" s="248"/>
      <c r="AD8" s="248">
        <f>AD7</f>
        <v>0</v>
      </c>
      <c r="AE8" s="248">
        <f t="shared" ref="AE8:AF8" si="1">AE7</f>
        <v>50</v>
      </c>
      <c r="AF8" s="248">
        <f t="shared" si="1"/>
        <v>0</v>
      </c>
      <c r="AG8" s="248"/>
    </row>
    <row r="9" spans="1:33" x14ac:dyDescent="0.2">
      <c r="B9" s="248"/>
      <c r="C9" s="248"/>
      <c r="D9" s="248"/>
      <c r="E9" s="248"/>
      <c r="F9" s="248"/>
      <c r="G9" s="248"/>
      <c r="H9" s="248"/>
      <c r="I9" s="248"/>
      <c r="J9" s="248"/>
      <c r="K9" s="248"/>
      <c r="L9" s="248"/>
      <c r="M9" s="248"/>
      <c r="N9" s="248"/>
      <c r="O9" s="248"/>
      <c r="P9" s="248"/>
      <c r="Q9" s="248"/>
      <c r="R9" s="248"/>
      <c r="S9" s="248"/>
      <c r="T9" s="248"/>
      <c r="U9" s="248"/>
      <c r="V9" s="248"/>
      <c r="W9" s="248"/>
      <c r="X9" s="248"/>
      <c r="Y9" s="248"/>
      <c r="Z9" s="248"/>
      <c r="AA9" s="248"/>
      <c r="AB9" s="248"/>
      <c r="AC9" s="248"/>
      <c r="AD9" s="248"/>
      <c r="AE9" s="248"/>
      <c r="AF9" s="248"/>
      <c r="AG9" s="248"/>
    </row>
    <row r="11" spans="1:33" x14ac:dyDescent="0.2">
      <c r="B11" s="250" t="s">
        <v>7</v>
      </c>
      <c r="C11" s="2" t="s">
        <v>8</v>
      </c>
      <c r="D11" s="2" t="s">
        <v>10</v>
      </c>
      <c r="E11" s="2" t="s">
        <v>13</v>
      </c>
      <c r="F11" s="251" t="s">
        <v>14</v>
      </c>
      <c r="G11" s="252" t="s">
        <v>15</v>
      </c>
      <c r="H11" s="252" t="s">
        <v>115</v>
      </c>
      <c r="I11" s="253" t="s">
        <v>17</v>
      </c>
      <c r="J11" s="252" t="s">
        <v>99</v>
      </c>
      <c r="K11" s="254" t="s">
        <v>19</v>
      </c>
      <c r="L11" s="254" t="s">
        <v>20</v>
      </c>
      <c r="M11" s="254" t="s">
        <v>21</v>
      </c>
      <c r="N11" s="254" t="s">
        <v>22</v>
      </c>
      <c r="O11" s="254" t="s">
        <v>23</v>
      </c>
      <c r="P11" s="254" t="s">
        <v>24</v>
      </c>
      <c r="Q11" s="254" t="s">
        <v>25</v>
      </c>
      <c r="R11" s="254" t="s">
        <v>26</v>
      </c>
      <c r="S11" s="254" t="s">
        <v>27</v>
      </c>
      <c r="T11" s="255" t="s">
        <v>37</v>
      </c>
      <c r="U11" s="255" t="s">
        <v>38</v>
      </c>
      <c r="V11" s="255" t="s">
        <v>41</v>
      </c>
      <c r="W11" s="255" t="s">
        <v>43</v>
      </c>
      <c r="X11" s="255" t="s">
        <v>42</v>
      </c>
      <c r="Y11" s="255" t="s">
        <v>40</v>
      </c>
      <c r="Z11" s="255" t="s">
        <v>39</v>
      </c>
      <c r="AA11" s="255" t="s">
        <v>44</v>
      </c>
      <c r="AB11" s="255" t="s">
        <v>45</v>
      </c>
      <c r="AC11" s="255" t="s">
        <v>46</v>
      </c>
      <c r="AD11" s="255" t="s">
        <v>47</v>
      </c>
      <c r="AE11" s="255" t="s">
        <v>48</v>
      </c>
      <c r="AF11" s="255" t="s">
        <v>170</v>
      </c>
      <c r="AG11" s="255" t="s">
        <v>171</v>
      </c>
    </row>
    <row r="12" spans="1:33" x14ac:dyDescent="0.2">
      <c r="B12" s="250"/>
      <c r="C12" s="2" t="s">
        <v>3</v>
      </c>
      <c r="D12" s="2" t="s">
        <v>3</v>
      </c>
      <c r="E12" s="2" t="s">
        <v>3</v>
      </c>
      <c r="F12" s="251" t="s">
        <v>4</v>
      </c>
      <c r="G12" s="252" t="s">
        <v>3</v>
      </c>
      <c r="H12" s="252" t="s">
        <v>3</v>
      </c>
      <c r="I12" s="253" t="s">
        <v>3</v>
      </c>
      <c r="J12" s="252" t="s">
        <v>3</v>
      </c>
      <c r="K12" s="254" t="s">
        <v>3</v>
      </c>
      <c r="L12" s="254" t="s">
        <v>3</v>
      </c>
      <c r="M12" s="254" t="s">
        <v>3</v>
      </c>
      <c r="N12" s="254" t="s">
        <v>3</v>
      </c>
      <c r="O12" s="254" t="s">
        <v>3</v>
      </c>
      <c r="P12" s="254" t="s">
        <v>3</v>
      </c>
      <c r="Q12" s="254" t="s">
        <v>3</v>
      </c>
      <c r="R12" s="254" t="s">
        <v>3</v>
      </c>
      <c r="S12" s="254" t="s">
        <v>3</v>
      </c>
      <c r="T12" s="255" t="s">
        <v>34</v>
      </c>
      <c r="U12" s="255" t="s">
        <v>34</v>
      </c>
      <c r="V12" s="255" t="s">
        <v>34</v>
      </c>
      <c r="W12" s="255" t="s">
        <v>34</v>
      </c>
      <c r="X12" s="255" t="s">
        <v>34</v>
      </c>
      <c r="Y12" s="255" t="s">
        <v>34</v>
      </c>
      <c r="Z12" s="255" t="s">
        <v>34</v>
      </c>
      <c r="AA12" s="255" t="s">
        <v>36</v>
      </c>
      <c r="AB12" s="255" t="s">
        <v>36</v>
      </c>
      <c r="AC12" s="255" t="s">
        <v>36</v>
      </c>
      <c r="AD12" s="255" t="s">
        <v>34</v>
      </c>
      <c r="AE12" s="255" t="s">
        <v>34</v>
      </c>
      <c r="AF12" s="255" t="s">
        <v>34</v>
      </c>
      <c r="AG12" s="2" t="s">
        <v>172</v>
      </c>
    </row>
    <row r="13" spans="1:33" x14ac:dyDescent="0.2">
      <c r="A13" s="250" t="s">
        <v>340</v>
      </c>
      <c r="B13" s="256">
        <f>(100-B8)/100</f>
        <v>0.87</v>
      </c>
      <c r="C13" s="257">
        <f>C8/$B13/100</f>
        <v>0.27586206896551724</v>
      </c>
      <c r="D13" s="257">
        <f>D8/$B13/100</f>
        <v>0.14827586206896551</v>
      </c>
      <c r="E13" s="257">
        <f>E8/$B13/100</f>
        <v>0.12413793103448277</v>
      </c>
      <c r="F13" s="258">
        <f>F7/$B13</f>
        <v>2.2988505747126435</v>
      </c>
      <c r="G13" s="257">
        <f>G8/$B13/100</f>
        <v>0</v>
      </c>
      <c r="H13" s="257">
        <f>H8/$B13/100</f>
        <v>3.1034482758620693E-2</v>
      </c>
      <c r="I13" s="257">
        <f>I8/$B13/100</f>
        <v>0.12068965517241378</v>
      </c>
      <c r="J13" s="257">
        <f>J8/$B13/100</f>
        <v>0</v>
      </c>
      <c r="K13" s="257">
        <f>K8/$B13/100</f>
        <v>0</v>
      </c>
      <c r="L13" s="257">
        <f>L8/$B13/100</f>
        <v>0</v>
      </c>
      <c r="M13" s="257">
        <f>M8/$B13/100</f>
        <v>1.3218390804597699E-2</v>
      </c>
      <c r="N13" s="257">
        <f>N8/$B13/100</f>
        <v>5.1494252873563228E-3</v>
      </c>
      <c r="O13" s="257">
        <f>O8/$B13/100</f>
        <v>3.6896551724137933E-3</v>
      </c>
      <c r="P13" s="257">
        <f>P8/$B13/100</f>
        <v>0</v>
      </c>
      <c r="Q13" s="257">
        <f>Q8/$B13/100</f>
        <v>2.413793103448276E-3</v>
      </c>
      <c r="R13" s="257">
        <f>R8/$B13/100</f>
        <v>3.0689655172413794E-3</v>
      </c>
      <c r="S13" s="257">
        <f>S8/$B13/100</f>
        <v>0</v>
      </c>
      <c r="T13" s="258">
        <f>T8/$B13</f>
        <v>2.103448275862069</v>
      </c>
      <c r="U13" s="258">
        <f>U8/$B13</f>
        <v>35.632183908045974</v>
      </c>
      <c r="V13" s="258">
        <f>V8/$B13</f>
        <v>137.93103448275863</v>
      </c>
      <c r="W13" s="258">
        <f>W8/$B13</f>
        <v>129.88505747126436</v>
      </c>
      <c r="X13" s="258">
        <f>X8/$B13</f>
        <v>0.77011494252873569</v>
      </c>
      <c r="Y13" s="258">
        <f>Y8/$B13</f>
        <v>1.4367816091954022</v>
      </c>
      <c r="Z13" s="258">
        <f>Z8/$B13</f>
        <v>0</v>
      </c>
      <c r="AA13" s="259">
        <f>AA7/$B13</f>
        <v>9195.4022988505749</v>
      </c>
      <c r="AB13" s="259">
        <f t="shared" ref="AB13:AC13" si="2">AB7/$B13</f>
        <v>2298.8505747126437</v>
      </c>
      <c r="AC13" s="259">
        <f t="shared" si="2"/>
        <v>40.229885057471265</v>
      </c>
      <c r="AD13" s="258">
        <f>AD8/$B13</f>
        <v>0</v>
      </c>
      <c r="AE13" s="258">
        <f>AE8/$B13</f>
        <v>57.47126436781609</v>
      </c>
      <c r="AF13" s="258">
        <f>AF8/$B13</f>
        <v>0</v>
      </c>
      <c r="AG13" s="260">
        <f>AG7/$B13</f>
        <v>0</v>
      </c>
    </row>
    <row r="14" spans="1:33" x14ac:dyDescent="0.2">
      <c r="A14" s="249" t="s">
        <v>341</v>
      </c>
    </row>
  </sheetData>
  <sheetProtection sheet="1" objects="1" scenarios="1"/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1</vt:i4>
      </vt:variant>
    </vt:vector>
  </HeadingPairs>
  <TitlesOfParts>
    <vt:vector size="10" baseType="lpstr">
      <vt:lpstr>Alimentos</vt:lpstr>
      <vt:lpstr>Lactação</vt:lpstr>
      <vt:lpstr>Pos parto</vt:lpstr>
      <vt:lpstr>Vaca seca</vt:lpstr>
      <vt:lpstr>Pre parto</vt:lpstr>
      <vt:lpstr>Recria</vt:lpstr>
      <vt:lpstr>Ração Geral</vt:lpstr>
      <vt:lpstr>Ração Aleitamento</vt:lpstr>
      <vt:lpstr>Conversão de rótulo</vt:lpstr>
      <vt:lpstr>alimentos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Neves Pereira</dc:creator>
  <cp:lastModifiedBy>Ricardo Melo</cp:lastModifiedBy>
  <cp:lastPrinted>2008-10-17T14:33:08Z</cp:lastPrinted>
  <dcterms:created xsi:type="dcterms:W3CDTF">2001-04-03T20:49:31Z</dcterms:created>
  <dcterms:modified xsi:type="dcterms:W3CDTF">2023-04-12T18:32:05Z</dcterms:modified>
</cp:coreProperties>
</file>